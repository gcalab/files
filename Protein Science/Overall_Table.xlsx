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a2/Documents/MANUSCRIPTS/SUBMITTED/PAPER BUSHRA/Chapter 0.3/Figures and Tables/"/>
    </mc:Choice>
  </mc:AlternateContent>
  <xr:revisionPtr revIDLastSave="0" documentId="13_ncr:1_{A9C0F62B-1DB6-0841-8CEB-F0DDDE023FA9}" xr6:coauthVersionLast="47" xr6:coauthVersionMax="47" xr10:uidLastSave="{00000000-0000-0000-0000-000000000000}"/>
  <bookViews>
    <workbookView xWindow="7140" yWindow="3320" windowWidth="34500" windowHeight="23960" firstSheet="1" activeTab="5" xr2:uid="{DDDB4325-1C54-B94C-B193-4B401122D3CA}"/>
  </bookViews>
  <sheets>
    <sheet name="Overall" sheetId="1" r:id="rId1"/>
    <sheet name="Paper_table" sheetId="3" r:id="rId2"/>
    <sheet name="global_analysis" sheetId="20" r:id="rId3"/>
    <sheet name="anova-overall " sheetId="4" r:id="rId4"/>
    <sheet name="SS_all" sheetId="5" r:id="rId5"/>
    <sheet name="SS_T" sheetId="19" r:id="rId6"/>
    <sheet name="SS_S" sheetId="18" r:id="rId7"/>
    <sheet name="SS_L" sheetId="17" r:id="rId8"/>
    <sheet name="SS_H" sheetId="16" r:id="rId9"/>
    <sheet name="SS_G" sheetId="15" r:id="rId10"/>
    <sheet name="SS_B" sheetId="13" r:id="rId11"/>
    <sheet name="SS_E" sheetId="14" r:id="rId12"/>
    <sheet name="Paper_table_edited" sheetId="23" r:id="rId13"/>
    <sheet name="Spearman" sheetId="24" r:id="rId14"/>
  </sheets>
  <definedNames>
    <definedName name="_xlnm._FilterDatabase" localSheetId="4" hidden="1">SS_all!$A$1:$M$422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2" i="14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2" i="13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2" i="15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2" i="16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2" i="18"/>
  <c r="O50" i="19"/>
  <c r="O51" i="19"/>
  <c r="O52" i="19"/>
  <c r="O53" i="19"/>
  <c r="O54" i="19"/>
  <c r="O55" i="19"/>
  <c r="O56" i="19"/>
  <c r="O57" i="19"/>
  <c r="O58" i="19"/>
  <c r="O59" i="19"/>
  <c r="O60" i="19"/>
  <c r="O61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" i="19"/>
</calcChain>
</file>

<file path=xl/sharedStrings.xml><?xml version="1.0" encoding="utf-8"?>
<sst xmlns="http://schemas.openxmlformats.org/spreadsheetml/2006/main" count="3542" uniqueCount="248">
  <si>
    <t>Title</t>
  </si>
  <si>
    <t>R2</t>
  </si>
  <si>
    <t>slope</t>
  </si>
  <si>
    <t>slope_SE</t>
  </si>
  <si>
    <t>slope_t</t>
  </si>
  <si>
    <t>intercept</t>
  </si>
  <si>
    <t>intercept_SE</t>
  </si>
  <si>
    <t>intercept_t</t>
  </si>
  <si>
    <t>F_value</t>
  </si>
  <si>
    <t>df_num</t>
  </si>
  <si>
    <t>df_denom</t>
  </si>
  <si>
    <t>P_value</t>
  </si>
  <si>
    <t>Acidobacterium_capsulatum_ATCC_51196</t>
  </si>
  <si>
    <t>Apis_mellifera_38.2d</t>
  </si>
  <si>
    <t>Arabidopsis_thaliana_10</t>
  </si>
  <si>
    <t>Archaeoglobus_fulgidus_DSM_4304</t>
  </si>
  <si>
    <t>Arcobacter_butzleri_7h1h</t>
  </si>
  <si>
    <t>Aspergillus_nidulans_FGSC_A4</t>
  </si>
  <si>
    <t>Aureococcus_anophagefferens</t>
  </si>
  <si>
    <t>Bigelowiella_natans_CCMP2755_22</t>
  </si>
  <si>
    <t>Caenorhabditis_elegans_76_235</t>
  </si>
  <si>
    <t>Candida_glabrata_CBS_138</t>
  </si>
  <si>
    <t>Carica_papaya</t>
  </si>
  <si>
    <t>Chaetomium_globosum_CBS_148.51</t>
  </si>
  <si>
    <t>Chlamydomonas_reinhardtii_4.0</t>
  </si>
  <si>
    <t>Chlorella_vulgaris</t>
  </si>
  <si>
    <t>Ciona_intestinalis_76</t>
  </si>
  <si>
    <t>Coprinopsis_cinerea_okayama7_130_v3</t>
  </si>
  <si>
    <t>Cyanidioschyzon_merolae</t>
  </si>
  <si>
    <t>Cytophaga_hutchinsonii_ATCC_33406</t>
  </si>
  <si>
    <t>Danio_rerio_76_9</t>
  </si>
  <si>
    <t>Daphnia_pulex</t>
  </si>
  <si>
    <t>Dictyostelium_discoideum</t>
  </si>
  <si>
    <t>Eremothecium_gossypii_ATCC_10895</t>
  </si>
  <si>
    <t>Fervidobacterium_nodosum_Rt17-B1</t>
  </si>
  <si>
    <t>Gallus_gallus_76_4</t>
  </si>
  <si>
    <t>Giardia_lamblia_2.3</t>
  </si>
  <si>
    <t>Halobacterium_salinarum_R1</t>
  </si>
  <si>
    <t>Homo_sapiens_76_38</t>
  </si>
  <si>
    <t>Hyperthermus_butylicus_DSM_5456</t>
  </si>
  <si>
    <t>Laccaria_bicolor_S238N-H82</t>
  </si>
  <si>
    <t>Lachancea_waltii_NCYC_2644</t>
  </si>
  <si>
    <t>Leuconostoc_mesenteroides_subsp._mesenteroides_ATCC_8293</t>
  </si>
  <si>
    <t>Lottia_gigantea</t>
  </si>
  <si>
    <t>Medicago_truncatula</t>
  </si>
  <si>
    <t>Methanocorpusculum_labreanum_Z</t>
  </si>
  <si>
    <t>Methanoregula_boonei_6A8</t>
  </si>
  <si>
    <t>Monosiga_brevicollis</t>
  </si>
  <si>
    <t>Naegleria_gruberi</t>
  </si>
  <si>
    <t>Natronomonas_pharaonis_DSM_2160</t>
  </si>
  <si>
    <t>Neurospora_crassa_OR74A</t>
  </si>
  <si>
    <t>Oryza_sativa_v193</t>
  </si>
  <si>
    <t>Paracoccus_denitrificans_PD1222</t>
  </si>
  <si>
    <t>Paramecium_tetraurelia</t>
  </si>
  <si>
    <t>Petrotoga_mobilis_SJ95</t>
  </si>
  <si>
    <t>Phaeodactylum_tricornutum_CCAP_1055_1</t>
  </si>
  <si>
    <t>Phanerochaete_chrysosporium_RP-78_2.1</t>
  </si>
  <si>
    <t>Physcomitrella_patens</t>
  </si>
  <si>
    <t>Picrophilus_torridus_DSM_9790</t>
  </si>
  <si>
    <t>Polynucleobacter_necessarius_subsp._necessarius_STIR1</t>
  </si>
  <si>
    <t>Populus_trichocarpa_v156</t>
  </si>
  <si>
    <t>Psychrobacter_arcticus_273-4</t>
  </si>
  <si>
    <t>Pyrococcus_abyssi_GE5</t>
  </si>
  <si>
    <t>Roseiflexus_castenholzii_DSM_13941</t>
  </si>
  <si>
    <t>Saccharomyces_cerevisiae_76</t>
  </si>
  <si>
    <t>Staphylothermus_marinus_F1</t>
  </si>
  <si>
    <t>Sulfolobus_acidocaldarius_DSM_639</t>
  </si>
  <si>
    <t>Syntrophobacter_fumaroxidans_MPOB</t>
  </si>
  <si>
    <t>Tetrahymena_thermophila_SB210_1</t>
  </si>
  <si>
    <t>Thalassiosira_pseudonana_CCMP1335</t>
  </si>
  <si>
    <t>Vitis_vinifera</t>
  </si>
  <si>
    <t>Xenopus_laevis</t>
  </si>
  <si>
    <t>Domain</t>
  </si>
  <si>
    <t>Kingdom</t>
  </si>
  <si>
    <t>A</t>
  </si>
  <si>
    <t>Archaea</t>
  </si>
  <si>
    <t>B</t>
  </si>
  <si>
    <t>Bacteria</t>
  </si>
  <si>
    <t>E</t>
  </si>
  <si>
    <t>Fungi</t>
  </si>
  <si>
    <t>Metazoa</t>
  </si>
  <si>
    <t>Plants</t>
  </si>
  <si>
    <t>Protista</t>
  </si>
  <si>
    <t>Cyani+A1:J51dioschyzon_merolae</t>
  </si>
  <si>
    <t xml:space="preserve">No. </t>
  </si>
  <si>
    <t>anova for rsquare -kingdom</t>
  </si>
  <si>
    <t>&gt; summary(anova_r2_kingdom)</t>
  </si>
  <si>
    <t>Signif. codes:  0 ‘***’ 0.001 ‘**’ 0.01 ‘*’ 0.05 ‘.’ 0.1 ‘ ’ 1</t>
  </si>
  <si>
    <t>Residuals</t>
  </si>
  <si>
    <t>Df</t>
  </si>
  <si>
    <t>SumSq</t>
  </si>
  <si>
    <t>MeanSq</t>
  </si>
  <si>
    <t>F value</t>
  </si>
  <si>
    <t>P-value</t>
  </si>
  <si>
    <t>&gt; summary(anova_slope_kingdom)</t>
  </si>
  <si>
    <t>***</t>
  </si>
  <si>
    <t>*</t>
  </si>
  <si>
    <t>Genome</t>
  </si>
  <si>
    <t>Total Domains</t>
  </si>
  <si>
    <t>Selected domains</t>
  </si>
  <si>
    <t>structure</t>
  </si>
  <si>
    <t>G</t>
  </si>
  <si>
    <t>H</t>
  </si>
  <si>
    <t>L</t>
  </si>
  <si>
    <t>S</t>
  </si>
  <si>
    <t>T</t>
  </si>
  <si>
    <t>Significant p- value</t>
  </si>
  <si>
    <t>Significant p valeus</t>
  </si>
  <si>
    <t>Significant p values</t>
  </si>
  <si>
    <t>Significant p value</t>
  </si>
  <si>
    <t>Siginificant p value</t>
  </si>
  <si>
    <t>Significnat p value</t>
  </si>
  <si>
    <t>global</t>
  </si>
  <si>
    <t>Global Secondary structures</t>
  </si>
  <si>
    <t>global_B</t>
  </si>
  <si>
    <t>global_E</t>
  </si>
  <si>
    <t>global_G</t>
  </si>
  <si>
    <t>global_H</t>
  </si>
  <si>
    <t>global_L</t>
  </si>
  <si>
    <t>global_S</t>
  </si>
  <si>
    <t>global_T</t>
  </si>
  <si>
    <t>global_All</t>
  </si>
  <si>
    <t>SuperKingdoms</t>
  </si>
  <si>
    <t>Archaeoglobus_fulgidus DSM 4304</t>
  </si>
  <si>
    <t>Halobacterium salinarum R1</t>
  </si>
  <si>
    <t>Hyperthermus butylicus DSM 5456</t>
  </si>
  <si>
    <t>Methanocorpusculum labreanum Z</t>
  </si>
  <si>
    <t>Methanoregula boonei 6A8</t>
  </si>
  <si>
    <t>Natronomonas pharaonis DSM 2160</t>
  </si>
  <si>
    <t>Picrophilus torridus DSM 9790</t>
  </si>
  <si>
    <t>Pyrococcus abyssi GE5</t>
  </si>
  <si>
    <t>Staphylothermus marinus F1</t>
  </si>
  <si>
    <t>Sulfolobus acidocaldarius DSM 639</t>
  </si>
  <si>
    <t>Acidobacterium_capsulatum ATCC 51196</t>
  </si>
  <si>
    <t>Arcobacter butzleri 7h1h</t>
  </si>
  <si>
    <t>Cytophaga hutchinsonii ATCC 33406</t>
  </si>
  <si>
    <t>Fervidobacterium nodosum Rt17 B1</t>
  </si>
  <si>
    <t>Leuconostoc mesenteroides subsp. mesenteroides ATCC 8293</t>
  </si>
  <si>
    <t>Paracoccus denitrificans PD1222</t>
  </si>
  <si>
    <t>Petrotoga mobilis SJ95</t>
  </si>
  <si>
    <t>Polynucleobacter necessarius subsp. Necessarius STIR1</t>
  </si>
  <si>
    <t>Psychrobacter arcticus 273 4</t>
  </si>
  <si>
    <t>Roseiflexus castenholzii DSM 13941</t>
  </si>
  <si>
    <t>Syntrophobacter fumaroxidans MPOB</t>
  </si>
  <si>
    <t>Aspergillus nidulans FGSC A4</t>
  </si>
  <si>
    <t>Candida glabrata CBS 138</t>
  </si>
  <si>
    <t>Chaetomium globosum CBS 148.51</t>
  </si>
  <si>
    <t>Coprinopsis cinerea okayama7 130 v3</t>
  </si>
  <si>
    <t>Eremothecium gossypii ATCC 10895</t>
  </si>
  <si>
    <t>Laccaria bicolor S238N H82</t>
  </si>
  <si>
    <t>Lachancea waltii NCYC 2644</t>
  </si>
  <si>
    <t>Neurospora crassa OR74A</t>
  </si>
  <si>
    <t>Phanerochaete chrysosporium RP 78 2.1</t>
  </si>
  <si>
    <t>Thalassiosira pseudonana CCMP1335</t>
  </si>
  <si>
    <t>Tetrahymena thermophila SB210 1</t>
  </si>
  <si>
    <t>Phaeodactylum tricornutum CCAP 1055 1</t>
  </si>
  <si>
    <t>Paramecium tetraurelia</t>
  </si>
  <si>
    <t>Naegleria gruberi</t>
  </si>
  <si>
    <t>Monosiga brevicollis</t>
  </si>
  <si>
    <t>Giardia lamblia 2.3</t>
  </si>
  <si>
    <t>Dictyostelium discoideum</t>
  </si>
  <si>
    <t>Bigelowiella natans CCMP2755 22</t>
  </si>
  <si>
    <t>Aureococcus anophagefferens</t>
  </si>
  <si>
    <t>Vitis vinifera</t>
  </si>
  <si>
    <t>Populus trichocarpa v156</t>
  </si>
  <si>
    <t>Physcomitrella patens</t>
  </si>
  <si>
    <t>Oryza sativa v193</t>
  </si>
  <si>
    <t>Medicago truncatula</t>
  </si>
  <si>
    <t>Cyanidioschyzon merolae</t>
  </si>
  <si>
    <t>Chlorella vulgaris</t>
  </si>
  <si>
    <t>Chlamydomonas reinhardtii 4.0</t>
  </si>
  <si>
    <t>Carica papaya</t>
  </si>
  <si>
    <t>Homo sapiens 76 38</t>
  </si>
  <si>
    <t>Lottia gigantea</t>
  </si>
  <si>
    <t>Xenopus laevis</t>
  </si>
  <si>
    <t>Arabidopsis thaliana 10</t>
  </si>
  <si>
    <t>Apis mellifera 38.2d</t>
  </si>
  <si>
    <t>Caenorhabditis elegans 76 235</t>
  </si>
  <si>
    <t>Ciona intestinalis 76</t>
  </si>
  <si>
    <t>Danio rerio 76 9</t>
  </si>
  <si>
    <t>Saccharomyces cerevisiae 76</t>
  </si>
  <si>
    <t>Gallus gallus 76 4</t>
  </si>
  <si>
    <t>P value</t>
  </si>
  <si>
    <t>No.</t>
  </si>
  <si>
    <t>Proteome</t>
  </si>
  <si>
    <t>Spearman_rho</t>
  </si>
  <si>
    <t>Spearman_p_value</t>
  </si>
  <si>
    <t>5.59e-24</t>
  </si>
  <si>
    <t>Apis_mellifera</t>
  </si>
  <si>
    <t>3.956e-08</t>
  </si>
  <si>
    <t>2.779e-11</t>
  </si>
  <si>
    <t>4.976e-23</t>
  </si>
  <si>
    <t>2.214e-20</t>
  </si>
  <si>
    <t>4.405e-27</t>
  </si>
  <si>
    <t>3.298e-16</t>
  </si>
  <si>
    <t>2.137e-16</t>
  </si>
  <si>
    <t>6.469e-11</t>
  </si>
  <si>
    <t>1.25e-15</t>
  </si>
  <si>
    <t>7.142e-14</t>
  </si>
  <si>
    <t>3.487e-22</t>
  </si>
  <si>
    <t>1.032e-17</t>
  </si>
  <si>
    <t>9.635e-17</t>
  </si>
  <si>
    <t>2.103e-07</t>
  </si>
  <si>
    <t>2.635e-20</t>
  </si>
  <si>
    <t>4.576e-13</t>
  </si>
  <si>
    <t>6.208e-25</t>
  </si>
  <si>
    <t>9.917e-07</t>
  </si>
  <si>
    <t>2.467e-07</t>
  </si>
  <si>
    <t>4.482e-17</t>
  </si>
  <si>
    <t>4.769e-15</t>
  </si>
  <si>
    <t>2.856e-23</t>
  </si>
  <si>
    <t>2.735e-07</t>
  </si>
  <si>
    <t>1.936e-12</t>
  </si>
  <si>
    <t>7.079e-22</t>
  </si>
  <si>
    <t>7.929e-05</t>
  </si>
  <si>
    <t>1.358e-27</t>
  </si>
  <si>
    <t>5.681e-20</t>
  </si>
  <si>
    <t>1.866e-15</t>
  </si>
  <si>
    <t>1.386e-21</t>
  </si>
  <si>
    <t>5.774e-07</t>
  </si>
  <si>
    <t>2.874e-14</t>
  </si>
  <si>
    <t>5.121e-19</t>
  </si>
  <si>
    <t>3.782e-18</t>
  </si>
  <si>
    <t>6.76e-13</t>
  </si>
  <si>
    <t>1.591e-19</t>
  </si>
  <si>
    <t>1.124e-32</t>
  </si>
  <si>
    <t>3.639e-20</t>
  </si>
  <si>
    <t>1.783e-08</t>
  </si>
  <si>
    <t>4.909e-25</t>
  </si>
  <si>
    <t>4.764e-14</t>
  </si>
  <si>
    <t>1.66e-28</t>
  </si>
  <si>
    <t>1.608e-15</t>
  </si>
  <si>
    <t>1.149e-18</t>
  </si>
  <si>
    <t>1.12e-16</t>
  </si>
  <si>
    <t>1.816e-23</t>
  </si>
  <si>
    <t>5.084e-18</t>
  </si>
  <si>
    <t>2.23e-11</t>
  </si>
  <si>
    <t>1.449e-21</t>
  </si>
  <si>
    <t>1.59e-23</t>
  </si>
  <si>
    <t>4.24e-36</t>
  </si>
  <si>
    <t>1.874e-11</t>
  </si>
  <si>
    <t>1.823e-20</t>
  </si>
  <si>
    <t>7.572e-25</t>
  </si>
  <si>
    <t>7.065e-20</t>
  </si>
  <si>
    <t>5.343e-14</t>
  </si>
  <si>
    <t>4.853e-14</t>
  </si>
  <si>
    <t>3.763e-12</t>
  </si>
  <si>
    <t>5.57e-09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</si>
</sst>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0E0E0E"/>
      <name val="Helvetica Neue"/>
      <family val="2"/>
    </font>
    <font>
      <b/>
      <sz val="12"/>
      <color theme="1"/>
      <name val="Aptos Narrow"/>
      <scheme val="minor"/>
    </font>
    <font>
      <sz val="11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0" xfId="0" applyFont="1" applyFill="1"/>
    <xf numFmtId="11" fontId="1" fillId="2" borderId="0" xfId="0" applyNumberFormat="1" applyFont="1" applyFill="1"/>
    <xf numFmtId="2" fontId="1" fillId="0" borderId="0" xfId="0" applyNumberFormat="1" applyFont="1"/>
    <xf numFmtId="3" fontId="4" fillId="0" borderId="0" xfId="0" applyNumberFormat="1" applyFont="1"/>
    <xf numFmtId="3" fontId="1" fillId="0" borderId="0" xfId="0" applyNumberFormat="1" applyFont="1"/>
    <xf numFmtId="0" fontId="0" fillId="0" borderId="0" xfId="0" quotePrefix="1"/>
    <xf numFmtId="3" fontId="4" fillId="2" borderId="0" xfId="0" applyNumberFormat="1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0</xdr:row>
      <xdr:rowOff>0</xdr:rowOff>
    </xdr:from>
    <xdr:to>
      <xdr:col>6</xdr:col>
      <xdr:colOff>419100</xdr:colOff>
      <xdr:row>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3122E-D5F6-4489-AD55-8F64F991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5300" y="0"/>
          <a:ext cx="165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81AC-2D77-4C49-8E1C-E0E79ED13D0A}">
  <dimension ref="A1:N61"/>
  <sheetViews>
    <sheetView zoomScale="98" zoomScaleNormal="98" workbookViewId="0">
      <selection activeCell="D21" sqref="D21"/>
    </sheetView>
  </sheetViews>
  <sheetFormatPr baseColWidth="10" defaultRowHeight="16" x14ac:dyDescent="0.2"/>
  <cols>
    <col min="1" max="1" width="54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72</v>
      </c>
      <c r="N1" t="s">
        <v>73</v>
      </c>
    </row>
    <row r="2" spans="1:14" x14ac:dyDescent="0.2">
      <c r="A2" t="s">
        <v>12</v>
      </c>
      <c r="B2">
        <v>0.54378632029084495</v>
      </c>
      <c r="C2">
        <v>-0.13297313569260899</v>
      </c>
      <c r="D2">
        <v>9.9446223054479796E-3</v>
      </c>
      <c r="E2">
        <v>-13.371361084247701</v>
      </c>
      <c r="F2">
        <v>0.88633843115431599</v>
      </c>
      <c r="G2">
        <v>1.8986153020067301E-2</v>
      </c>
      <c r="H2">
        <v>46.683413444393302</v>
      </c>
      <c r="I2">
        <v>178.793297245334</v>
      </c>
      <c r="J2">
        <v>1</v>
      </c>
      <c r="K2">
        <v>150</v>
      </c>
      <c r="L2" s="1">
        <v>2.4027794212863899E-27</v>
      </c>
      <c r="M2" t="s">
        <v>76</v>
      </c>
      <c r="N2" t="s">
        <v>77</v>
      </c>
    </row>
    <row r="3" spans="1:14" x14ac:dyDescent="0.2">
      <c r="A3" t="s">
        <v>13</v>
      </c>
      <c r="B3">
        <v>0.29103701766275702</v>
      </c>
      <c r="C3">
        <v>-0.15563813358202799</v>
      </c>
      <c r="D3">
        <v>1.83626202923746E-2</v>
      </c>
      <c r="E3">
        <v>-8.4758128798567807</v>
      </c>
      <c r="F3">
        <v>0.93199893972618797</v>
      </c>
      <c r="G3">
        <v>3.5414852343865898E-2</v>
      </c>
      <c r="H3">
        <v>26.316612326286201</v>
      </c>
      <c r="I3">
        <v>71.839403974346098</v>
      </c>
      <c r="J3">
        <v>1</v>
      </c>
      <c r="K3">
        <v>175</v>
      </c>
      <c r="L3" s="1">
        <v>9.3670215877027599E-15</v>
      </c>
      <c r="M3" t="s">
        <v>78</v>
      </c>
      <c r="N3" t="s">
        <v>80</v>
      </c>
    </row>
    <row r="4" spans="1:14" x14ac:dyDescent="0.2">
      <c r="A4" t="s">
        <v>14</v>
      </c>
      <c r="B4">
        <v>0.38701744865501903</v>
      </c>
      <c r="C4">
        <v>-0.173626026847126</v>
      </c>
      <c r="D4">
        <v>1.64708979624501E-2</v>
      </c>
      <c r="E4">
        <v>-10.5413819721884</v>
      </c>
      <c r="F4">
        <v>0.96690844317704805</v>
      </c>
      <c r="G4">
        <v>3.1653338105307502E-2</v>
      </c>
      <c r="H4">
        <v>30.546808047866602</v>
      </c>
      <c r="I4">
        <v>111.12073388357901</v>
      </c>
      <c r="J4">
        <v>1</v>
      </c>
      <c r="K4">
        <v>176</v>
      </c>
      <c r="L4" s="1">
        <v>1.8895241648258599E-20</v>
      </c>
      <c r="M4" t="s">
        <v>78</v>
      </c>
      <c r="N4" t="s">
        <v>81</v>
      </c>
    </row>
    <row r="5" spans="1:14" x14ac:dyDescent="0.2">
      <c r="A5" t="s">
        <v>15</v>
      </c>
      <c r="B5">
        <v>0.50568037272976496</v>
      </c>
      <c r="C5">
        <v>-0.14633083691908899</v>
      </c>
      <c r="D5">
        <v>1.3045153070233999E-2</v>
      </c>
      <c r="E5">
        <v>-11.2172571782988</v>
      </c>
      <c r="F5">
        <v>0.90907474267386001</v>
      </c>
      <c r="G5">
        <v>2.40502522865047E-2</v>
      </c>
      <c r="H5">
        <v>37.798969085408203</v>
      </c>
      <c r="I5">
        <v>125.826858604096</v>
      </c>
      <c r="J5">
        <v>1</v>
      </c>
      <c r="K5">
        <v>123</v>
      </c>
      <c r="L5" s="1">
        <v>1.52165556843986E-20</v>
      </c>
      <c r="M5" t="s">
        <v>74</v>
      </c>
      <c r="N5" t="s">
        <v>75</v>
      </c>
    </row>
    <row r="6" spans="1:14" x14ac:dyDescent="0.2">
      <c r="A6" t="s">
        <v>16</v>
      </c>
      <c r="B6">
        <v>0.49971357841578101</v>
      </c>
      <c r="C6">
        <v>-0.13886888482342399</v>
      </c>
      <c r="D6">
        <v>1.21399831170927E-2</v>
      </c>
      <c r="E6">
        <v>-11.4389685293632</v>
      </c>
      <c r="F6">
        <v>0.89944633940476804</v>
      </c>
      <c r="G6">
        <v>2.2554706564926998E-2</v>
      </c>
      <c r="H6">
        <v>39.878432326999302</v>
      </c>
      <c r="I6">
        <v>130.85000101576199</v>
      </c>
      <c r="J6">
        <v>1</v>
      </c>
      <c r="K6">
        <v>131</v>
      </c>
      <c r="L6" s="1">
        <v>1.9441517694693899E-21</v>
      </c>
      <c r="M6" t="s">
        <v>76</v>
      </c>
      <c r="N6" t="s">
        <v>77</v>
      </c>
    </row>
    <row r="7" spans="1:14" x14ac:dyDescent="0.2">
      <c r="A7" t="s">
        <v>17</v>
      </c>
      <c r="B7">
        <v>0.365559367319439</v>
      </c>
      <c r="C7">
        <v>-0.13387468386086199</v>
      </c>
      <c r="D7">
        <v>1.32191945237655E-2</v>
      </c>
      <c r="E7">
        <v>-10.1272950950364</v>
      </c>
      <c r="F7">
        <v>0.88902413052190099</v>
      </c>
      <c r="G7">
        <v>2.56837102413221E-2</v>
      </c>
      <c r="H7">
        <v>34.614318654458401</v>
      </c>
      <c r="I7">
        <v>102.562105941948</v>
      </c>
      <c r="J7">
        <v>1</v>
      </c>
      <c r="K7">
        <v>178</v>
      </c>
      <c r="L7" s="1">
        <v>2.5313201188757802E-19</v>
      </c>
      <c r="M7" t="s">
        <v>78</v>
      </c>
      <c r="N7" t="s">
        <v>79</v>
      </c>
    </row>
    <row r="8" spans="1:14" x14ac:dyDescent="0.2">
      <c r="A8" t="s">
        <v>18</v>
      </c>
      <c r="B8">
        <v>0.33261337689165799</v>
      </c>
      <c r="C8">
        <v>-0.11090216611541399</v>
      </c>
      <c r="D8">
        <v>1.17746747804813E-2</v>
      </c>
      <c r="E8">
        <v>-9.4187031219966393</v>
      </c>
      <c r="F8">
        <v>0.84164379322804295</v>
      </c>
      <c r="G8">
        <v>2.29313981932068E-2</v>
      </c>
      <c r="H8">
        <v>36.702681020007397</v>
      </c>
      <c r="I8">
        <v>88.711968500309297</v>
      </c>
      <c r="J8">
        <v>1</v>
      </c>
      <c r="K8">
        <v>178</v>
      </c>
      <c r="L8" s="1">
        <v>2.3990143923801201E-17</v>
      </c>
      <c r="M8" t="s">
        <v>78</v>
      </c>
      <c r="N8" t="s">
        <v>82</v>
      </c>
    </row>
    <row r="9" spans="1:14" x14ac:dyDescent="0.2">
      <c r="A9" t="s">
        <v>19</v>
      </c>
      <c r="B9">
        <v>0.35145920991053198</v>
      </c>
      <c r="C9">
        <v>-0.11086434422737</v>
      </c>
      <c r="D9">
        <v>1.1256323369094601E-2</v>
      </c>
      <c r="E9">
        <v>-9.8490724361881004</v>
      </c>
      <c r="F9">
        <v>0.84343683155056304</v>
      </c>
      <c r="G9">
        <v>2.1868854038049699E-2</v>
      </c>
      <c r="H9">
        <v>38.567948283118298</v>
      </c>
      <c r="I9">
        <v>97.004227853280298</v>
      </c>
      <c r="J9">
        <v>1</v>
      </c>
      <c r="K9">
        <v>179</v>
      </c>
      <c r="L9" s="1">
        <v>1.4656700204537999E-18</v>
      </c>
      <c r="M9" t="s">
        <v>78</v>
      </c>
      <c r="N9" t="s">
        <v>82</v>
      </c>
    </row>
    <row r="10" spans="1:14" x14ac:dyDescent="0.2">
      <c r="A10" t="s">
        <v>20</v>
      </c>
      <c r="B10">
        <v>0.35649135493344197</v>
      </c>
      <c r="C10">
        <v>-0.182340368323055</v>
      </c>
      <c r="D10">
        <v>1.8625694175140799E-2</v>
      </c>
      <c r="E10">
        <v>-9.7897220156454594</v>
      </c>
      <c r="F10">
        <v>0.98440884515792804</v>
      </c>
      <c r="G10">
        <v>3.57433287337292E-2</v>
      </c>
      <c r="H10">
        <v>27.541051156463499</v>
      </c>
      <c r="I10">
        <v>95.838657143613901</v>
      </c>
      <c r="J10">
        <v>1</v>
      </c>
      <c r="K10">
        <v>173</v>
      </c>
      <c r="L10" s="1">
        <v>2.76597482267131E-18</v>
      </c>
      <c r="M10" t="s">
        <v>78</v>
      </c>
      <c r="N10" t="s">
        <v>80</v>
      </c>
    </row>
    <row r="11" spans="1:14" x14ac:dyDescent="0.2">
      <c r="A11" t="s">
        <v>21</v>
      </c>
      <c r="B11">
        <v>0.35315217409995397</v>
      </c>
      <c r="C11">
        <v>-0.12159195310371999</v>
      </c>
      <c r="D11">
        <v>1.2969165004877299E-2</v>
      </c>
      <c r="E11">
        <v>-9.3754650401928998</v>
      </c>
      <c r="F11">
        <v>0.86928756937104501</v>
      </c>
      <c r="G11">
        <v>2.48405692016745E-2</v>
      </c>
      <c r="H11">
        <v>34.994671914057697</v>
      </c>
      <c r="I11">
        <v>87.899344719879196</v>
      </c>
      <c r="J11">
        <v>1</v>
      </c>
      <c r="K11">
        <v>161</v>
      </c>
      <c r="L11" s="1">
        <v>6.1473909558521306E-17</v>
      </c>
      <c r="M11" t="s">
        <v>78</v>
      </c>
      <c r="N11" t="s">
        <v>79</v>
      </c>
    </row>
    <row r="12" spans="1:14" x14ac:dyDescent="0.2">
      <c r="A12" t="s">
        <v>22</v>
      </c>
      <c r="B12">
        <v>0.37574433372612598</v>
      </c>
      <c r="C12">
        <v>-0.16393199130627301</v>
      </c>
      <c r="D12">
        <v>1.58822529167926E-2</v>
      </c>
      <c r="E12">
        <v>-10.3217089014459</v>
      </c>
      <c r="F12">
        <v>0.94942869530039997</v>
      </c>
      <c r="G12">
        <v>3.06347055771348E-2</v>
      </c>
      <c r="H12">
        <v>30.9919314520534</v>
      </c>
      <c r="I12">
        <v>106.53767464618601</v>
      </c>
      <c r="J12">
        <v>1</v>
      </c>
      <c r="K12">
        <v>177</v>
      </c>
      <c r="L12" s="1">
        <v>7.5081329822461298E-20</v>
      </c>
      <c r="M12" t="s">
        <v>78</v>
      </c>
      <c r="N12" t="s">
        <v>81</v>
      </c>
    </row>
    <row r="13" spans="1:14" x14ac:dyDescent="0.2">
      <c r="A13" t="s">
        <v>23</v>
      </c>
      <c r="B13">
        <v>0.37729473209471598</v>
      </c>
      <c r="C13">
        <v>-0.15642960671383399</v>
      </c>
      <c r="D13">
        <v>1.5062943649427301E-2</v>
      </c>
      <c r="E13">
        <v>-10.385062199962601</v>
      </c>
      <c r="F13">
        <v>0.93496356184703799</v>
      </c>
      <c r="G13">
        <v>2.92638215373234E-2</v>
      </c>
      <c r="H13">
        <v>31.949469096323401</v>
      </c>
      <c r="I13">
        <v>107.849516897093</v>
      </c>
      <c r="J13">
        <v>1</v>
      </c>
      <c r="K13">
        <v>178</v>
      </c>
      <c r="L13" s="1">
        <v>4.7318392974798297E-20</v>
      </c>
      <c r="M13" t="s">
        <v>78</v>
      </c>
      <c r="N13" t="s">
        <v>79</v>
      </c>
    </row>
    <row r="14" spans="1:14" x14ac:dyDescent="0.2">
      <c r="A14" t="s">
        <v>24</v>
      </c>
      <c r="B14">
        <v>0.420036986869541</v>
      </c>
      <c r="C14">
        <v>-0.18508935178550301</v>
      </c>
      <c r="D14">
        <v>1.6487818266016401E-2</v>
      </c>
      <c r="E14">
        <v>-11.2258243509997</v>
      </c>
      <c r="F14">
        <v>0.98866236152919795</v>
      </c>
      <c r="G14">
        <v>3.1655883424358898E-2</v>
      </c>
      <c r="H14">
        <v>31.2315517553502</v>
      </c>
      <c r="I14">
        <v>126.01913235949699</v>
      </c>
      <c r="J14">
        <v>1</v>
      </c>
      <c r="K14">
        <v>174</v>
      </c>
      <c r="L14" s="1">
        <v>2.4092398294792098E-22</v>
      </c>
      <c r="M14" t="s">
        <v>78</v>
      </c>
      <c r="N14" t="s">
        <v>81</v>
      </c>
    </row>
    <row r="15" spans="1:14" x14ac:dyDescent="0.2">
      <c r="A15" t="s">
        <v>25</v>
      </c>
      <c r="B15">
        <v>0.38298439019921299</v>
      </c>
      <c r="C15">
        <v>-0.17290334722412701</v>
      </c>
      <c r="D15">
        <v>1.6685448633337499E-2</v>
      </c>
      <c r="E15">
        <v>-10.3625231196161</v>
      </c>
      <c r="F15">
        <v>0.96763023895904499</v>
      </c>
      <c r="G15">
        <v>3.2097126275072503E-2</v>
      </c>
      <c r="H15">
        <v>30.146943083516302</v>
      </c>
      <c r="I15">
        <v>107.381885404578</v>
      </c>
      <c r="J15">
        <v>1</v>
      </c>
      <c r="K15">
        <v>173</v>
      </c>
      <c r="L15" s="1">
        <v>7.0372793402682902E-20</v>
      </c>
      <c r="M15" t="s">
        <v>78</v>
      </c>
      <c r="N15" t="s">
        <v>81</v>
      </c>
    </row>
    <row r="16" spans="1:14" x14ac:dyDescent="0.2">
      <c r="A16" t="s">
        <v>26</v>
      </c>
      <c r="B16">
        <v>0.24151033197206301</v>
      </c>
      <c r="C16">
        <v>-0.13242206643301899</v>
      </c>
      <c r="D16">
        <v>1.7491662350675102E-2</v>
      </c>
      <c r="E16">
        <v>-7.57058213097213</v>
      </c>
      <c r="F16">
        <v>0.88074443730190699</v>
      </c>
      <c r="G16">
        <v>3.3755988694963199E-2</v>
      </c>
      <c r="H16">
        <v>26.091501726131501</v>
      </c>
      <c r="I16">
        <v>57.313713801794599</v>
      </c>
      <c r="J16">
        <v>1</v>
      </c>
      <c r="K16">
        <v>180</v>
      </c>
      <c r="L16" s="1">
        <v>1.86424977167108E-12</v>
      </c>
      <c r="M16" t="s">
        <v>78</v>
      </c>
      <c r="N16" t="s">
        <v>80</v>
      </c>
    </row>
    <row r="17" spans="1:14" x14ac:dyDescent="0.2">
      <c r="A17" t="s">
        <v>27</v>
      </c>
      <c r="B17">
        <v>0.34328509280090302</v>
      </c>
      <c r="C17">
        <v>-0.123239172569062</v>
      </c>
      <c r="D17">
        <v>1.28851866672873E-2</v>
      </c>
      <c r="E17">
        <v>-9.5644072337686996</v>
      </c>
      <c r="F17">
        <v>0.86908963068575296</v>
      </c>
      <c r="G17">
        <v>2.4984766496732001E-2</v>
      </c>
      <c r="H17">
        <v>34.784780990426</v>
      </c>
      <c r="I17">
        <v>91.477885733367501</v>
      </c>
      <c r="J17">
        <v>1</v>
      </c>
      <c r="K17">
        <v>175</v>
      </c>
      <c r="L17" s="1">
        <v>1.06628883149281E-17</v>
      </c>
      <c r="M17" t="s">
        <v>78</v>
      </c>
      <c r="N17" t="s">
        <v>79</v>
      </c>
    </row>
    <row r="18" spans="1:14" x14ac:dyDescent="0.2">
      <c r="A18" t="s">
        <v>28</v>
      </c>
      <c r="B18">
        <v>0.32969845298544997</v>
      </c>
      <c r="C18">
        <v>-8.4962882315862007E-2</v>
      </c>
      <c r="D18">
        <v>9.5475722899820304E-3</v>
      </c>
      <c r="E18">
        <v>-8.8988990850596501</v>
      </c>
      <c r="F18">
        <v>0.79796526383882405</v>
      </c>
      <c r="G18">
        <v>1.82437060591694E-2</v>
      </c>
      <c r="H18">
        <v>43.739208538594198</v>
      </c>
      <c r="I18">
        <v>79.190404926076098</v>
      </c>
      <c r="J18">
        <v>1</v>
      </c>
      <c r="K18">
        <v>161</v>
      </c>
      <c r="L18" s="1">
        <v>1.1176028899445401E-15</v>
      </c>
      <c r="M18" t="s">
        <v>78</v>
      </c>
      <c r="N18" t="s">
        <v>81</v>
      </c>
    </row>
    <row r="19" spans="1:14" x14ac:dyDescent="0.2">
      <c r="A19" t="s">
        <v>29</v>
      </c>
      <c r="B19">
        <v>0.508714661904478</v>
      </c>
      <c r="C19">
        <v>-0.13908283224634099</v>
      </c>
      <c r="D19">
        <v>1.14297118432336E-2</v>
      </c>
      <c r="E19">
        <v>-12.1685335688212</v>
      </c>
      <c r="F19">
        <v>0.894095978033557</v>
      </c>
      <c r="G19">
        <v>2.1717362953071199E-2</v>
      </c>
      <c r="H19">
        <v>41.1696383196062</v>
      </c>
      <c r="I19">
        <v>148.073209215529</v>
      </c>
      <c r="J19">
        <v>1</v>
      </c>
      <c r="K19">
        <v>143</v>
      </c>
      <c r="L19" s="1">
        <v>7.9030733437952403E-24</v>
      </c>
      <c r="M19" t="s">
        <v>76</v>
      </c>
      <c r="N19" t="s">
        <v>77</v>
      </c>
    </row>
    <row r="20" spans="1:14" x14ac:dyDescent="0.2">
      <c r="A20" t="s">
        <v>30</v>
      </c>
      <c r="B20">
        <v>0.26729986035598202</v>
      </c>
      <c r="C20">
        <v>-0.14954757063718199</v>
      </c>
      <c r="D20">
        <v>1.8403644954361701E-2</v>
      </c>
      <c r="E20">
        <v>-8.1259756427619401</v>
      </c>
      <c r="F20">
        <v>0.91389495552475797</v>
      </c>
      <c r="G20">
        <v>3.5330936892525901E-2</v>
      </c>
      <c r="H20">
        <v>25.8667059496542</v>
      </c>
      <c r="I20">
        <v>66.0314801467607</v>
      </c>
      <c r="J20">
        <v>1</v>
      </c>
      <c r="K20">
        <v>181</v>
      </c>
      <c r="L20" s="1">
        <v>6.7382770439812704E-14</v>
      </c>
      <c r="M20" t="s">
        <v>78</v>
      </c>
      <c r="N20" t="s">
        <v>80</v>
      </c>
    </row>
    <row r="21" spans="1:14" x14ac:dyDescent="0.2">
      <c r="A21" t="s">
        <v>31</v>
      </c>
      <c r="B21">
        <v>0.26202355911998698</v>
      </c>
      <c r="C21">
        <v>-0.12971164868554499</v>
      </c>
      <c r="D21">
        <v>1.6225339955561899E-2</v>
      </c>
      <c r="E21">
        <v>-7.9943871155119002</v>
      </c>
      <c r="F21">
        <v>0.87819394608749102</v>
      </c>
      <c r="G21">
        <v>3.1444427852719302E-2</v>
      </c>
      <c r="H21">
        <v>27.928444117374699</v>
      </c>
      <c r="I21">
        <v>63.910225352662899</v>
      </c>
      <c r="J21">
        <v>1</v>
      </c>
      <c r="K21">
        <v>180</v>
      </c>
      <c r="L21" s="1">
        <v>1.5201058467236399E-13</v>
      </c>
      <c r="M21" t="s">
        <v>78</v>
      </c>
      <c r="N21" t="s">
        <v>80</v>
      </c>
    </row>
    <row r="22" spans="1:14" x14ac:dyDescent="0.2">
      <c r="A22" t="s">
        <v>32</v>
      </c>
      <c r="B22">
        <v>0.36764770414393799</v>
      </c>
      <c r="C22">
        <v>-0.124794010341332</v>
      </c>
      <c r="D22">
        <v>1.23018585422649E-2</v>
      </c>
      <c r="E22">
        <v>-10.1443216821738</v>
      </c>
      <c r="F22">
        <v>0.87052078051720505</v>
      </c>
      <c r="G22">
        <v>2.4019654418858401E-2</v>
      </c>
      <c r="H22">
        <v>36.2420193620163</v>
      </c>
      <c r="I22">
        <v>102.907262391421</v>
      </c>
      <c r="J22">
        <v>1</v>
      </c>
      <c r="K22">
        <v>177</v>
      </c>
      <c r="L22" s="1">
        <v>2.37370059246784E-19</v>
      </c>
      <c r="M22" t="s">
        <v>78</v>
      </c>
      <c r="N22" t="s">
        <v>82</v>
      </c>
    </row>
    <row r="23" spans="1:14" x14ac:dyDescent="0.2">
      <c r="A23" t="s">
        <v>33</v>
      </c>
      <c r="B23">
        <v>0.36771239091122498</v>
      </c>
      <c r="C23">
        <v>-0.13006948637791901</v>
      </c>
      <c r="D23">
        <v>1.3612215071446001E-2</v>
      </c>
      <c r="E23">
        <v>-9.5553505212213192</v>
      </c>
      <c r="F23">
        <v>0.88557689692031105</v>
      </c>
      <c r="G23">
        <v>2.59192208315722E-2</v>
      </c>
      <c r="H23">
        <v>34.166802415664797</v>
      </c>
      <c r="I23">
        <v>91.304723583404495</v>
      </c>
      <c r="J23">
        <v>1</v>
      </c>
      <c r="K23">
        <v>157</v>
      </c>
      <c r="L23" s="1">
        <v>2.4421287863415499E-17</v>
      </c>
      <c r="M23" t="s">
        <v>78</v>
      </c>
      <c r="N23" t="s">
        <v>79</v>
      </c>
    </row>
    <row r="24" spans="1:14" x14ac:dyDescent="0.2">
      <c r="A24" t="s">
        <v>34</v>
      </c>
      <c r="B24">
        <v>0.43402553184641701</v>
      </c>
      <c r="C24">
        <v>-0.113736017675763</v>
      </c>
      <c r="D24">
        <v>1.1435204714539699E-2</v>
      </c>
      <c r="E24">
        <v>-9.9461286889905001</v>
      </c>
      <c r="F24">
        <v>0.85038334206896804</v>
      </c>
      <c r="G24">
        <v>2.13909283432486E-2</v>
      </c>
      <c r="H24">
        <v>39.7543916011184</v>
      </c>
      <c r="I24">
        <v>98.925475897959799</v>
      </c>
      <c r="J24">
        <v>1</v>
      </c>
      <c r="K24">
        <v>129</v>
      </c>
      <c r="L24" s="1">
        <v>1.19734677051392E-17</v>
      </c>
      <c r="M24" t="s">
        <v>76</v>
      </c>
      <c r="N24" t="s">
        <v>77</v>
      </c>
    </row>
    <row r="25" spans="1:14" x14ac:dyDescent="0.2">
      <c r="A25" t="s">
        <v>35</v>
      </c>
      <c r="B25">
        <v>0.28047225691068201</v>
      </c>
      <c r="C25">
        <v>-0.14535034386548201</v>
      </c>
      <c r="D25">
        <v>1.7352363162233899E-2</v>
      </c>
      <c r="E25">
        <v>-8.3764005228881793</v>
      </c>
      <c r="F25">
        <v>0.90671733910514796</v>
      </c>
      <c r="G25">
        <v>3.3378664695425199E-2</v>
      </c>
      <c r="H25">
        <v>27.1645779535759</v>
      </c>
      <c r="I25">
        <v>70.164085719841097</v>
      </c>
      <c r="J25">
        <v>1</v>
      </c>
      <c r="K25">
        <v>180</v>
      </c>
      <c r="L25" s="1">
        <v>1.5069979040144399E-14</v>
      </c>
      <c r="M25" t="s">
        <v>78</v>
      </c>
      <c r="N25" t="s">
        <v>80</v>
      </c>
    </row>
    <row r="26" spans="1:14" x14ac:dyDescent="0.2">
      <c r="A26" t="s">
        <v>36</v>
      </c>
      <c r="B26">
        <v>0.21458382557133299</v>
      </c>
      <c r="C26">
        <v>-0.12177532082595199</v>
      </c>
      <c r="D26">
        <v>2.0277935875638101E-2</v>
      </c>
      <c r="E26">
        <v>-6.00531146625495</v>
      </c>
      <c r="F26">
        <v>0.85803995598280802</v>
      </c>
      <c r="G26">
        <v>3.8376646456265401E-2</v>
      </c>
      <c r="H26">
        <v>22.358388113996401</v>
      </c>
      <c r="I26">
        <v>36.0637658067334</v>
      </c>
      <c r="J26">
        <v>1</v>
      </c>
      <c r="K26">
        <v>132</v>
      </c>
      <c r="L26" s="1">
        <v>1.73966900507082E-8</v>
      </c>
      <c r="M26" t="s">
        <v>78</v>
      </c>
      <c r="N26" t="s">
        <v>82</v>
      </c>
    </row>
    <row r="27" spans="1:14" x14ac:dyDescent="0.2">
      <c r="A27" t="s">
        <v>37</v>
      </c>
      <c r="B27">
        <v>0.44001824571270298</v>
      </c>
      <c r="C27">
        <v>-0.13903396251365999</v>
      </c>
      <c r="D27">
        <v>1.3600243238952901E-2</v>
      </c>
      <c r="E27">
        <v>-10.222902640112199</v>
      </c>
      <c r="F27">
        <v>0.901108963794789</v>
      </c>
      <c r="G27">
        <v>2.5431971797275601E-2</v>
      </c>
      <c r="H27">
        <v>35.432131294330802</v>
      </c>
      <c r="I27">
        <v>104.507738389213</v>
      </c>
      <c r="J27">
        <v>1</v>
      </c>
      <c r="K27">
        <v>133</v>
      </c>
      <c r="L27" s="1">
        <v>1.8493626949038401E-18</v>
      </c>
      <c r="M27" t="s">
        <v>74</v>
      </c>
      <c r="N27" t="s">
        <v>75</v>
      </c>
    </row>
    <row r="28" spans="1:14" x14ac:dyDescent="0.2">
      <c r="A28" t="s">
        <v>38</v>
      </c>
      <c r="B28">
        <v>0.308421626089115</v>
      </c>
      <c r="C28">
        <v>-0.156582763802189</v>
      </c>
      <c r="D28">
        <v>1.71923709497648E-2</v>
      </c>
      <c r="E28">
        <v>-9.1076887684493997</v>
      </c>
      <c r="F28">
        <v>0.93270132562833397</v>
      </c>
      <c r="G28">
        <v>3.3115338371340002E-2</v>
      </c>
      <c r="H28">
        <v>28.165236156413599</v>
      </c>
      <c r="I28">
        <v>82.949994702939506</v>
      </c>
      <c r="J28">
        <v>1</v>
      </c>
      <c r="K28">
        <v>186</v>
      </c>
      <c r="L28" s="1">
        <v>1.3250812558777299E-16</v>
      </c>
      <c r="M28" t="s">
        <v>78</v>
      </c>
      <c r="N28" t="s">
        <v>80</v>
      </c>
    </row>
    <row r="29" spans="1:14" x14ac:dyDescent="0.2">
      <c r="A29" t="s">
        <v>39</v>
      </c>
      <c r="B29">
        <v>0.50812383574131703</v>
      </c>
      <c r="C29">
        <v>-0.11219775365251</v>
      </c>
      <c r="D29">
        <v>1.0077124953998901E-2</v>
      </c>
      <c r="E29">
        <v>-11.133905172822701</v>
      </c>
      <c r="F29">
        <v>0.84476615537909305</v>
      </c>
      <c r="G29">
        <v>1.8610635710995901E-2</v>
      </c>
      <c r="H29">
        <v>45.391579766400604</v>
      </c>
      <c r="I29">
        <v>123.96384439740901</v>
      </c>
      <c r="J29">
        <v>1</v>
      </c>
      <c r="K29">
        <v>120</v>
      </c>
      <c r="L29" s="1">
        <v>3.2841668287001401E-20</v>
      </c>
      <c r="M29" t="s">
        <v>74</v>
      </c>
      <c r="N29" t="s">
        <v>75</v>
      </c>
    </row>
    <row r="30" spans="1:14" x14ac:dyDescent="0.2">
      <c r="A30" t="s">
        <v>40</v>
      </c>
      <c r="B30">
        <v>0.39182090639405098</v>
      </c>
      <c r="C30">
        <v>-0.14520498313980701</v>
      </c>
      <c r="D30">
        <v>1.37144639623981E-2</v>
      </c>
      <c r="E30">
        <v>-10.587725742539099</v>
      </c>
      <c r="F30">
        <v>0.91312349483614996</v>
      </c>
      <c r="G30">
        <v>2.65094684095015E-2</v>
      </c>
      <c r="H30">
        <v>34.445183159873203</v>
      </c>
      <c r="I30">
        <v>112.09993639922401</v>
      </c>
      <c r="J30">
        <v>1</v>
      </c>
      <c r="K30">
        <v>174</v>
      </c>
      <c r="L30" s="1">
        <v>1.5541282264306599E-20</v>
      </c>
      <c r="M30" t="s">
        <v>78</v>
      </c>
      <c r="N30" t="s">
        <v>79</v>
      </c>
    </row>
    <row r="31" spans="1:14" x14ac:dyDescent="0.2">
      <c r="A31" t="s">
        <v>41</v>
      </c>
      <c r="B31">
        <v>0.34762835451957302</v>
      </c>
      <c r="C31">
        <v>-0.121908211824101</v>
      </c>
      <c r="D31">
        <v>1.35456892726551E-2</v>
      </c>
      <c r="E31">
        <v>-8.9997791452517095</v>
      </c>
      <c r="F31">
        <v>0.86872236716231999</v>
      </c>
      <c r="G31">
        <v>2.5694555531285201E-2</v>
      </c>
      <c r="H31">
        <v>33.809589198948501</v>
      </c>
      <c r="I31">
        <v>80.996024663307395</v>
      </c>
      <c r="J31">
        <v>1</v>
      </c>
      <c r="K31">
        <v>152</v>
      </c>
      <c r="L31" s="1">
        <v>8.6343588162359302E-16</v>
      </c>
      <c r="M31" t="s">
        <v>78</v>
      </c>
      <c r="N31" t="s">
        <v>79</v>
      </c>
    </row>
    <row r="32" spans="1:14" x14ac:dyDescent="0.2">
      <c r="A32" t="s">
        <v>42</v>
      </c>
      <c r="B32">
        <v>0.461570132413401</v>
      </c>
      <c r="C32">
        <v>-0.128308838251846</v>
      </c>
      <c r="D32">
        <v>1.20164580459826E-2</v>
      </c>
      <c r="E32">
        <v>-10.6777586008168</v>
      </c>
      <c r="F32">
        <v>0.87415886317578795</v>
      </c>
      <c r="G32">
        <v>2.23943526040404E-2</v>
      </c>
      <c r="H32">
        <v>39.034790539918198</v>
      </c>
      <c r="I32">
        <v>114.01452873731699</v>
      </c>
      <c r="J32">
        <v>1</v>
      </c>
      <c r="K32">
        <v>133</v>
      </c>
      <c r="L32" s="1">
        <v>1.3288957588806399E-19</v>
      </c>
      <c r="M32" t="s">
        <v>76</v>
      </c>
      <c r="N32" t="s">
        <v>77</v>
      </c>
    </row>
    <row r="33" spans="1:14" x14ac:dyDescent="0.2">
      <c r="A33" t="s">
        <v>43</v>
      </c>
      <c r="B33">
        <v>0.23201433337220001</v>
      </c>
      <c r="C33">
        <v>-0.12522282733592699</v>
      </c>
      <c r="D33">
        <v>1.7028490025576201E-2</v>
      </c>
      <c r="E33">
        <v>-7.3537246783388497</v>
      </c>
      <c r="F33">
        <v>0.864937581895035</v>
      </c>
      <c r="G33">
        <v>3.2751149921004703E-2</v>
      </c>
      <c r="H33">
        <v>26.409380555530198</v>
      </c>
      <c r="I33">
        <v>54.077266644810202</v>
      </c>
      <c r="J33">
        <v>1</v>
      </c>
      <c r="K33">
        <v>179</v>
      </c>
      <c r="L33" s="1">
        <v>6.66256293687737E-12</v>
      </c>
      <c r="M33" t="s">
        <v>78</v>
      </c>
      <c r="N33" t="s">
        <v>80</v>
      </c>
    </row>
    <row r="34" spans="1:14" x14ac:dyDescent="0.2">
      <c r="A34" t="s">
        <v>44</v>
      </c>
      <c r="B34">
        <v>0.398212433454668</v>
      </c>
      <c r="C34">
        <v>-0.17796463183997099</v>
      </c>
      <c r="D34">
        <v>1.63520189716818E-2</v>
      </c>
      <c r="E34">
        <v>-10.883343038444901</v>
      </c>
      <c r="F34">
        <v>0.97622370896516597</v>
      </c>
      <c r="G34">
        <v>3.1613544825624E-2</v>
      </c>
      <c r="H34">
        <v>30.879919172300401</v>
      </c>
      <c r="I34">
        <v>118.44715569246701</v>
      </c>
      <c r="J34">
        <v>1</v>
      </c>
      <c r="K34">
        <v>179</v>
      </c>
      <c r="L34" s="1">
        <v>1.7039730949110999E-21</v>
      </c>
      <c r="M34" t="s">
        <v>78</v>
      </c>
      <c r="N34" t="s">
        <v>81</v>
      </c>
    </row>
    <row r="35" spans="1:14" x14ac:dyDescent="0.2">
      <c r="A35" t="s">
        <v>45</v>
      </c>
      <c r="B35">
        <v>0.48407899060422799</v>
      </c>
      <c r="C35">
        <v>-0.144576035738637</v>
      </c>
      <c r="D35">
        <v>1.35686648920908E-2</v>
      </c>
      <c r="E35">
        <v>-10.655140862304799</v>
      </c>
      <c r="F35">
        <v>0.90537225499802698</v>
      </c>
      <c r="G35">
        <v>2.5003361755167701E-2</v>
      </c>
      <c r="H35">
        <v>36.210021030908102</v>
      </c>
      <c r="I35">
        <v>113.532026795557</v>
      </c>
      <c r="J35">
        <v>1</v>
      </c>
      <c r="K35">
        <v>121</v>
      </c>
      <c r="L35" s="1">
        <v>4.2149276212610801E-19</v>
      </c>
      <c r="M35" t="s">
        <v>74</v>
      </c>
      <c r="N35" t="s">
        <v>75</v>
      </c>
    </row>
    <row r="36" spans="1:14" x14ac:dyDescent="0.2">
      <c r="A36" t="s">
        <v>46</v>
      </c>
      <c r="B36">
        <v>0.36472773011953202</v>
      </c>
      <c r="C36">
        <v>-9.3226449223763205E-2</v>
      </c>
      <c r="D36">
        <v>1.0749767042148599E-2</v>
      </c>
      <c r="E36">
        <v>-8.6724157703356095</v>
      </c>
      <c r="F36">
        <v>0.81222125495488495</v>
      </c>
      <c r="G36">
        <v>2.0076446996607201E-2</v>
      </c>
      <c r="H36">
        <v>40.456424141788801</v>
      </c>
      <c r="I36">
        <v>75.210795293565795</v>
      </c>
      <c r="J36">
        <v>1</v>
      </c>
      <c r="K36">
        <v>131</v>
      </c>
      <c r="L36" s="1">
        <v>1.4120478875069001E-14</v>
      </c>
      <c r="M36" t="s">
        <v>74</v>
      </c>
      <c r="N36" t="s">
        <v>75</v>
      </c>
    </row>
    <row r="37" spans="1:14" x14ac:dyDescent="0.2">
      <c r="A37" t="s">
        <v>47</v>
      </c>
      <c r="B37">
        <v>0.35712132454082901</v>
      </c>
      <c r="C37">
        <v>-0.165492920442282</v>
      </c>
      <c r="D37">
        <v>1.65962329767637E-2</v>
      </c>
      <c r="E37">
        <v>-9.9717159113148206</v>
      </c>
      <c r="F37">
        <v>0.94458585738018097</v>
      </c>
      <c r="G37">
        <v>3.2319807767073598E-2</v>
      </c>
      <c r="H37">
        <v>29.226221399203201</v>
      </c>
      <c r="I37">
        <v>99.435118215969197</v>
      </c>
      <c r="J37">
        <v>1</v>
      </c>
      <c r="K37">
        <v>179</v>
      </c>
      <c r="L37" s="1">
        <v>6.6348069946290496E-19</v>
      </c>
      <c r="M37" t="s">
        <v>78</v>
      </c>
      <c r="N37" t="s">
        <v>82</v>
      </c>
    </row>
    <row r="38" spans="1:14" x14ac:dyDescent="0.2">
      <c r="A38" t="s">
        <v>48</v>
      </c>
      <c r="B38">
        <v>0.41706202002743598</v>
      </c>
      <c r="C38">
        <v>-0.14150496535108001</v>
      </c>
      <c r="D38" t="s">
        <v>83</v>
      </c>
      <c r="E38">
        <v>-11.2213595806834</v>
      </c>
      <c r="F38">
        <v>0.90248382517805004</v>
      </c>
      <c r="G38">
        <v>2.4532625536921902E-2</v>
      </c>
      <c r="H38">
        <v>36.7870868048674</v>
      </c>
      <c r="I38">
        <v>125.91891083899399</v>
      </c>
      <c r="J38">
        <v>1</v>
      </c>
      <c r="K38">
        <v>176</v>
      </c>
      <c r="L38" s="1">
        <v>2.1871919478215E-22</v>
      </c>
      <c r="M38" t="s">
        <v>78</v>
      </c>
      <c r="N38" t="s">
        <v>82</v>
      </c>
    </row>
    <row r="39" spans="1:14" x14ac:dyDescent="0.2">
      <c r="A39" t="s">
        <v>49</v>
      </c>
      <c r="B39">
        <v>0.46600769387237601</v>
      </c>
      <c r="C39">
        <v>-0.14148735046094199</v>
      </c>
      <c r="D39">
        <v>1.3283633785286599E-2</v>
      </c>
      <c r="E39">
        <v>-10.6512534708431</v>
      </c>
      <c r="F39">
        <v>0.90202412310681201</v>
      </c>
      <c r="G39">
        <v>2.4661354479854802E-2</v>
      </c>
      <c r="H39">
        <v>36.576422590399602</v>
      </c>
      <c r="I39">
        <v>113.449200500147</v>
      </c>
      <c r="J39">
        <v>1</v>
      </c>
      <c r="K39">
        <v>130</v>
      </c>
      <c r="L39" s="1">
        <v>1.9770550424679301E-19</v>
      </c>
      <c r="M39" t="s">
        <v>74</v>
      </c>
      <c r="N39" t="s">
        <v>75</v>
      </c>
    </row>
    <row r="40" spans="1:14" x14ac:dyDescent="0.2">
      <c r="A40" t="s">
        <v>50</v>
      </c>
      <c r="B40">
        <v>0.38862301773548102</v>
      </c>
      <c r="C40">
        <v>-0.16999573593321099</v>
      </c>
      <c r="D40">
        <v>1.6210830260936299E-2</v>
      </c>
      <c r="E40">
        <v>-10.486553322494199</v>
      </c>
      <c r="F40">
        <v>0.96100570203693603</v>
      </c>
      <c r="G40">
        <v>3.1283585839113601E-2</v>
      </c>
      <c r="H40">
        <v>30.719167137016601</v>
      </c>
      <c r="I40">
        <v>109.96780058551499</v>
      </c>
      <c r="J40">
        <v>1</v>
      </c>
      <c r="K40">
        <v>173</v>
      </c>
      <c r="L40" s="1">
        <v>3.1582011884187698E-20</v>
      </c>
      <c r="M40" t="s">
        <v>78</v>
      </c>
      <c r="N40" t="s">
        <v>79</v>
      </c>
    </row>
    <row r="41" spans="1:14" x14ac:dyDescent="0.2">
      <c r="A41" t="s">
        <v>51</v>
      </c>
      <c r="B41">
        <v>0.30002969909572302</v>
      </c>
      <c r="C41">
        <v>-0.14736352803337999</v>
      </c>
      <c r="D41">
        <v>1.6776889400382199E-2</v>
      </c>
      <c r="E41">
        <v>-8.7837217327082708</v>
      </c>
      <c r="F41">
        <v>0.91596667294844003</v>
      </c>
      <c r="G41">
        <v>3.2362043394889101E-2</v>
      </c>
      <c r="H41">
        <v>28.303734154596</v>
      </c>
      <c r="I41">
        <v>77.1537674776513</v>
      </c>
      <c r="J41">
        <v>1</v>
      </c>
      <c r="K41">
        <v>180</v>
      </c>
      <c r="L41" s="1">
        <v>1.2214697606588599E-15</v>
      </c>
      <c r="M41" t="s">
        <v>78</v>
      </c>
      <c r="N41" t="s">
        <v>81</v>
      </c>
    </row>
    <row r="42" spans="1:14" x14ac:dyDescent="0.2">
      <c r="A42" t="s">
        <v>52</v>
      </c>
      <c r="B42">
        <v>0.538846393631496</v>
      </c>
      <c r="C42">
        <v>-0.13274610417952001</v>
      </c>
      <c r="D42">
        <v>9.8958188871407799E-3</v>
      </c>
      <c r="E42">
        <v>-13.4143627418261</v>
      </c>
      <c r="F42">
        <v>0.88885852904112395</v>
      </c>
      <c r="G42">
        <v>1.9012065571564499E-2</v>
      </c>
      <c r="H42">
        <v>46.752338702773599</v>
      </c>
      <c r="I42">
        <v>179.94512776929199</v>
      </c>
      <c r="J42">
        <v>1</v>
      </c>
      <c r="K42">
        <v>154</v>
      </c>
      <c r="L42" s="1">
        <v>1.13632596916777E-27</v>
      </c>
      <c r="M42" t="s">
        <v>76</v>
      </c>
      <c r="N42" t="s">
        <v>77</v>
      </c>
    </row>
    <row r="43" spans="1:14" x14ac:dyDescent="0.2">
      <c r="A43" t="s">
        <v>53</v>
      </c>
      <c r="B43">
        <v>0.39452854855795999</v>
      </c>
      <c r="C43">
        <v>-0.19507269860110199</v>
      </c>
      <c r="D43">
        <v>1.8870446915886099E-2</v>
      </c>
      <c r="E43">
        <v>-10.3374710451018</v>
      </c>
      <c r="F43">
        <v>1.00405566414998</v>
      </c>
      <c r="G43">
        <v>3.5840076957550503E-2</v>
      </c>
      <c r="H43">
        <v>28.014885831277599</v>
      </c>
      <c r="I43">
        <v>106.863307608318</v>
      </c>
      <c r="J43">
        <v>1</v>
      </c>
      <c r="K43">
        <v>164</v>
      </c>
      <c r="L43" s="1">
        <v>1.3291392089924899E-19</v>
      </c>
      <c r="M43" t="s">
        <v>78</v>
      </c>
      <c r="N43" t="s">
        <v>82</v>
      </c>
    </row>
    <row r="44" spans="1:14" x14ac:dyDescent="0.2">
      <c r="A44" t="s">
        <v>54</v>
      </c>
      <c r="B44">
        <v>0.45198582174611401</v>
      </c>
      <c r="C44">
        <v>-0.117708586499515</v>
      </c>
      <c r="D44">
        <v>1.09934558316591E-2</v>
      </c>
      <c r="E44">
        <v>-10.7071505359157</v>
      </c>
      <c r="F44">
        <v>0.85809174545536804</v>
      </c>
      <c r="G44">
        <v>2.0960996682163301E-2</v>
      </c>
      <c r="H44">
        <v>40.937545025497599</v>
      </c>
      <c r="I44">
        <v>114.64307259876</v>
      </c>
      <c r="J44">
        <v>1</v>
      </c>
      <c r="K44">
        <v>139</v>
      </c>
      <c r="L44" s="1">
        <v>6.9897277265480902E-20</v>
      </c>
      <c r="M44" t="s">
        <v>76</v>
      </c>
      <c r="N44" t="s">
        <v>77</v>
      </c>
    </row>
    <row r="45" spans="1:14" x14ac:dyDescent="0.2">
      <c r="A45" t="s">
        <v>55</v>
      </c>
      <c r="B45">
        <v>0.45499537467814299</v>
      </c>
      <c r="C45">
        <v>-0.20199455942594399</v>
      </c>
      <c r="D45">
        <v>1.6955547374740799E-2</v>
      </c>
      <c r="E45">
        <v>-11.9131842199834</v>
      </c>
      <c r="F45">
        <v>1.02412806021</v>
      </c>
      <c r="G45">
        <v>3.2377742630952201E-2</v>
      </c>
      <c r="H45">
        <v>31.6306195859054</v>
      </c>
      <c r="I45">
        <v>141.92395825926201</v>
      </c>
      <c r="J45">
        <v>1</v>
      </c>
      <c r="K45">
        <v>170</v>
      </c>
      <c r="L45" s="1">
        <v>3.5327689141813301E-24</v>
      </c>
      <c r="M45" t="s">
        <v>78</v>
      </c>
      <c r="N45" t="s">
        <v>82</v>
      </c>
    </row>
    <row r="46" spans="1:14" x14ac:dyDescent="0.2">
      <c r="A46" t="s">
        <v>56</v>
      </c>
      <c r="B46">
        <v>0.33341816749098202</v>
      </c>
      <c r="C46">
        <v>-0.12525421078403401</v>
      </c>
      <c r="D46">
        <v>1.33495955229624E-2</v>
      </c>
      <c r="E46">
        <v>-9.3826221602434998</v>
      </c>
      <c r="F46">
        <v>0.87304967744767203</v>
      </c>
      <c r="G46">
        <v>2.59756838140494E-2</v>
      </c>
      <c r="H46">
        <v>33.610267344548902</v>
      </c>
      <c r="I46">
        <v>88.033598601892507</v>
      </c>
      <c r="J46">
        <v>1</v>
      </c>
      <c r="K46">
        <v>176</v>
      </c>
      <c r="L46" s="1">
        <v>3.2465965362565501E-17</v>
      </c>
      <c r="M46" t="s">
        <v>78</v>
      </c>
      <c r="N46" t="s">
        <v>79</v>
      </c>
    </row>
    <row r="47" spans="1:14" x14ac:dyDescent="0.2">
      <c r="A47" t="s">
        <v>57</v>
      </c>
      <c r="B47">
        <v>0.40796551058879299</v>
      </c>
      <c r="C47">
        <v>-0.17419673315824799</v>
      </c>
      <c r="D47">
        <v>1.5908424130057799E-2</v>
      </c>
      <c r="E47">
        <v>-10.9499678745123</v>
      </c>
      <c r="F47">
        <v>0.96780563166942102</v>
      </c>
      <c r="G47">
        <v>3.0528245032553601E-2</v>
      </c>
      <c r="H47">
        <v>31.7019740452623</v>
      </c>
      <c r="I47">
        <v>119.901796452851</v>
      </c>
      <c r="J47">
        <v>1</v>
      </c>
      <c r="K47">
        <v>174</v>
      </c>
      <c r="L47" s="1">
        <v>1.46692716465834E-21</v>
      </c>
      <c r="M47" t="s">
        <v>78</v>
      </c>
      <c r="N47" t="s">
        <v>81</v>
      </c>
    </row>
    <row r="48" spans="1:14" x14ac:dyDescent="0.2">
      <c r="A48" t="s">
        <v>58</v>
      </c>
      <c r="B48">
        <v>0.44085326785477702</v>
      </c>
      <c r="C48">
        <v>-0.13052848520264701</v>
      </c>
      <c r="D48">
        <v>1.29932015879545E-2</v>
      </c>
      <c r="E48">
        <v>-10.045906262522401</v>
      </c>
      <c r="F48">
        <v>0.88189114406437896</v>
      </c>
      <c r="G48">
        <v>2.4479290470145201E-2</v>
      </c>
      <c r="H48">
        <v>36.0260092154193</v>
      </c>
      <c r="I48">
        <v>100.920232635386</v>
      </c>
      <c r="J48">
        <v>1</v>
      </c>
      <c r="K48">
        <v>128</v>
      </c>
      <c r="L48" s="1">
        <v>7.2920619090210492E-18</v>
      </c>
      <c r="M48" t="s">
        <v>74</v>
      </c>
      <c r="N48" t="s">
        <v>75</v>
      </c>
    </row>
    <row r="49" spans="1:14" x14ac:dyDescent="0.2">
      <c r="A49" t="s">
        <v>59</v>
      </c>
      <c r="B49">
        <v>0.39997271522734901</v>
      </c>
      <c r="C49">
        <v>-0.10423661270545199</v>
      </c>
      <c r="D49">
        <v>1.1511662563394099E-2</v>
      </c>
      <c r="E49">
        <v>-9.0548704091547503</v>
      </c>
      <c r="F49">
        <v>0.83463472539860695</v>
      </c>
      <c r="G49">
        <v>2.1470508862634699E-2</v>
      </c>
      <c r="H49">
        <v>38.873541877301598</v>
      </c>
      <c r="I49">
        <v>81.990678126586204</v>
      </c>
      <c r="J49">
        <v>1</v>
      </c>
      <c r="K49">
        <v>123</v>
      </c>
      <c r="L49" s="1">
        <v>2.5558729106616099E-15</v>
      </c>
      <c r="M49" t="s">
        <v>76</v>
      </c>
      <c r="N49" t="s">
        <v>77</v>
      </c>
    </row>
    <row r="50" spans="1:14" x14ac:dyDescent="0.2">
      <c r="A50" t="s">
        <v>60</v>
      </c>
      <c r="B50">
        <v>0.38629754490964902</v>
      </c>
      <c r="C50">
        <v>-0.17649365017518401</v>
      </c>
      <c r="D50">
        <v>1.6720929210414699E-2</v>
      </c>
      <c r="E50">
        <v>-10.555253715520401</v>
      </c>
      <c r="F50">
        <v>0.97289945948513201</v>
      </c>
      <c r="G50">
        <v>3.2155922541090898E-2</v>
      </c>
      <c r="H50">
        <v>30.255684881747701</v>
      </c>
      <c r="I50">
        <v>111.413380999008</v>
      </c>
      <c r="J50">
        <v>1</v>
      </c>
      <c r="K50">
        <v>177</v>
      </c>
      <c r="L50" s="1">
        <v>1.6382350497959499E-20</v>
      </c>
      <c r="M50" t="s">
        <v>78</v>
      </c>
      <c r="N50" t="s">
        <v>81</v>
      </c>
    </row>
    <row r="51" spans="1:14" x14ac:dyDescent="0.2">
      <c r="A51" t="s">
        <v>61</v>
      </c>
      <c r="B51">
        <v>0.51878548543138803</v>
      </c>
      <c r="C51">
        <v>-0.14913154585723001</v>
      </c>
      <c r="D51">
        <v>1.2549005871199699E-2</v>
      </c>
      <c r="E51">
        <v>-11.883933069111899</v>
      </c>
      <c r="F51">
        <v>0.91834937845624398</v>
      </c>
      <c r="G51">
        <v>2.3348435752812799E-2</v>
      </c>
      <c r="H51">
        <v>39.332372762728198</v>
      </c>
      <c r="I51">
        <v>141.227865191132</v>
      </c>
      <c r="J51">
        <v>1</v>
      </c>
      <c r="K51">
        <v>131</v>
      </c>
      <c r="L51" s="1">
        <v>1.4968872246509999E-22</v>
      </c>
      <c r="M51" t="s">
        <v>76</v>
      </c>
      <c r="N51" t="s">
        <v>77</v>
      </c>
    </row>
    <row r="52" spans="1:14" x14ac:dyDescent="0.2">
      <c r="A52" t="s">
        <v>62</v>
      </c>
      <c r="B52">
        <v>0.41849257264400103</v>
      </c>
      <c r="C52">
        <v>-0.104784048721971</v>
      </c>
      <c r="D52">
        <v>1.1003824577000601E-2</v>
      </c>
      <c r="E52">
        <v>-9.5225117402346005</v>
      </c>
      <c r="F52">
        <v>0.83352780959296902</v>
      </c>
      <c r="G52">
        <v>2.0550376182128301E-2</v>
      </c>
      <c r="H52">
        <v>40.560221487227601</v>
      </c>
      <c r="I52">
        <v>90.678229842905793</v>
      </c>
      <c r="J52">
        <v>1</v>
      </c>
      <c r="K52">
        <v>126</v>
      </c>
      <c r="L52" s="1">
        <v>1.5938078190496199E-16</v>
      </c>
      <c r="M52" t="s">
        <v>74</v>
      </c>
      <c r="N52" t="s">
        <v>75</v>
      </c>
    </row>
    <row r="53" spans="1:14" x14ac:dyDescent="0.2">
      <c r="A53" t="s">
        <v>63</v>
      </c>
      <c r="B53">
        <v>0.60667763781675998</v>
      </c>
      <c r="C53">
        <v>-0.14219296758852601</v>
      </c>
      <c r="D53">
        <v>9.0231983847371706E-3</v>
      </c>
      <c r="E53">
        <v>-15.7585992821622</v>
      </c>
      <c r="F53">
        <v>0.90508334167669402</v>
      </c>
      <c r="G53">
        <v>1.7414668673410402E-2</v>
      </c>
      <c r="H53">
        <v>51.972469798327097</v>
      </c>
      <c r="I53">
        <v>248.333451335761</v>
      </c>
      <c r="J53">
        <v>1</v>
      </c>
      <c r="K53">
        <v>161</v>
      </c>
      <c r="L53" s="1">
        <v>1.9139404317950699E-34</v>
      </c>
      <c r="M53" t="s">
        <v>76</v>
      </c>
      <c r="N53" t="s">
        <v>77</v>
      </c>
    </row>
    <row r="54" spans="1:14" x14ac:dyDescent="0.2">
      <c r="A54" t="s">
        <v>64</v>
      </c>
      <c r="B54">
        <v>0.34367082756241502</v>
      </c>
      <c r="C54">
        <v>-0.123850110766992</v>
      </c>
      <c r="D54">
        <v>1.34470931032555E-2</v>
      </c>
      <c r="E54">
        <v>-9.2101772342907502</v>
      </c>
      <c r="F54">
        <v>0.873202823363734</v>
      </c>
      <c r="G54">
        <v>2.5726118125251E-2</v>
      </c>
      <c r="H54">
        <v>33.942269063386497</v>
      </c>
      <c r="I54">
        <v>84.827364687047506</v>
      </c>
      <c r="J54">
        <v>1</v>
      </c>
      <c r="K54">
        <v>162</v>
      </c>
      <c r="L54" s="1">
        <v>1.62322844077055E-16</v>
      </c>
      <c r="M54" t="s">
        <v>78</v>
      </c>
      <c r="N54" t="s">
        <v>79</v>
      </c>
    </row>
    <row r="55" spans="1:14" x14ac:dyDescent="0.2">
      <c r="A55" t="s">
        <v>65</v>
      </c>
      <c r="B55">
        <v>0.48800875343473998</v>
      </c>
      <c r="C55">
        <v>-0.163433452017264</v>
      </c>
      <c r="D55">
        <v>1.54762410341493E-2</v>
      </c>
      <c r="E55">
        <v>-10.5602808625582</v>
      </c>
      <c r="F55">
        <v>0.94148009055464998</v>
      </c>
      <c r="G55">
        <v>2.8425510811591E-2</v>
      </c>
      <c r="H55">
        <v>33.120955918609098</v>
      </c>
      <c r="I55">
        <v>111.519531896112</v>
      </c>
      <c r="J55">
        <v>1</v>
      </c>
      <c r="K55">
        <v>117</v>
      </c>
      <c r="L55" s="1">
        <v>1.02521338724669E-18</v>
      </c>
      <c r="M55" t="s">
        <v>74</v>
      </c>
      <c r="N55" t="s">
        <v>75</v>
      </c>
    </row>
    <row r="56" spans="1:14" x14ac:dyDescent="0.2">
      <c r="A56" t="s">
        <v>66</v>
      </c>
      <c r="B56">
        <v>0.52550784841081</v>
      </c>
      <c r="C56">
        <v>-0.144467834316267</v>
      </c>
      <c r="D56">
        <v>1.20865184867934E-2</v>
      </c>
      <c r="E56">
        <v>-11.9528079549229</v>
      </c>
      <c r="F56">
        <v>0.90772431473466597</v>
      </c>
      <c r="G56">
        <v>2.2556261965757201E-2</v>
      </c>
      <c r="H56">
        <v>40.242674788610302</v>
      </c>
      <c r="I56">
        <v>142.869618007269</v>
      </c>
      <c r="J56">
        <v>1</v>
      </c>
      <c r="K56">
        <v>129</v>
      </c>
      <c r="L56" s="1">
        <v>1.25702025079327E-22</v>
      </c>
      <c r="M56" t="s">
        <v>74</v>
      </c>
      <c r="N56" t="s">
        <v>75</v>
      </c>
    </row>
    <row r="57" spans="1:14" x14ac:dyDescent="0.2">
      <c r="A57" t="s">
        <v>67</v>
      </c>
      <c r="B57">
        <v>0.53617025725109702</v>
      </c>
      <c r="C57">
        <v>-0.136208160376075</v>
      </c>
      <c r="D57">
        <v>1.0520758795585001E-2</v>
      </c>
      <c r="E57">
        <v>-12.946609937796</v>
      </c>
      <c r="F57">
        <v>0.89438217955888999</v>
      </c>
      <c r="G57">
        <v>1.9910924399595499E-2</v>
      </c>
      <c r="H57">
        <v>44.919169075699003</v>
      </c>
      <c r="I57">
        <v>167.614708881437</v>
      </c>
      <c r="J57">
        <v>1</v>
      </c>
      <c r="K57">
        <v>145</v>
      </c>
      <c r="L57" s="1">
        <v>5.8121150962889804E-26</v>
      </c>
      <c r="M57" t="s">
        <v>76</v>
      </c>
      <c r="N57" t="s">
        <v>77</v>
      </c>
    </row>
    <row r="58" spans="1:14" x14ac:dyDescent="0.2">
      <c r="A58" t="s">
        <v>68</v>
      </c>
      <c r="B58">
        <v>0.30352603525100202</v>
      </c>
      <c r="C58">
        <v>-0.13595751120949501</v>
      </c>
      <c r="D58">
        <v>1.5936738226894401E-2</v>
      </c>
      <c r="E58">
        <v>-8.5310751343117595</v>
      </c>
      <c r="F58">
        <v>0.88801199571103395</v>
      </c>
      <c r="G58">
        <v>3.0776080308658599E-2</v>
      </c>
      <c r="H58">
        <v>28.853966678180299</v>
      </c>
      <c r="I58">
        <v>72.779242947272394</v>
      </c>
      <c r="J58">
        <v>1</v>
      </c>
      <c r="K58">
        <v>167</v>
      </c>
      <c r="L58" s="1">
        <v>8.4271478491416697E-15</v>
      </c>
      <c r="M58" t="s">
        <v>78</v>
      </c>
      <c r="N58" t="s">
        <v>82</v>
      </c>
    </row>
    <row r="59" spans="1:14" x14ac:dyDescent="0.2">
      <c r="A59" t="s">
        <v>69</v>
      </c>
      <c r="B59">
        <v>0.41464033014852197</v>
      </c>
      <c r="C59">
        <v>-0.16408566002938901</v>
      </c>
      <c r="D59">
        <v>1.48655859614195E-2</v>
      </c>
      <c r="E59">
        <v>-11.037954403899001</v>
      </c>
      <c r="F59">
        <v>0.94958463808821902</v>
      </c>
      <c r="G59">
        <v>2.86066145624513E-2</v>
      </c>
      <c r="H59">
        <v>33.194582882751597</v>
      </c>
      <c r="I59">
        <v>121.836437422553</v>
      </c>
      <c r="J59">
        <v>1</v>
      </c>
      <c r="K59">
        <v>172</v>
      </c>
      <c r="L59" s="1">
        <v>9.3242448262527601E-22</v>
      </c>
      <c r="M59" t="s">
        <v>78</v>
      </c>
      <c r="N59" t="s">
        <v>82</v>
      </c>
    </row>
    <row r="60" spans="1:14" x14ac:dyDescent="0.2">
      <c r="A60" t="s">
        <v>70</v>
      </c>
      <c r="B60">
        <v>0.400382555991946</v>
      </c>
      <c r="C60">
        <v>-0.17332589319379901</v>
      </c>
      <c r="D60">
        <v>1.5988461244312299E-2</v>
      </c>
      <c r="E60">
        <v>-10.8406863265505</v>
      </c>
      <c r="F60">
        <v>0.96721281857109798</v>
      </c>
      <c r="G60">
        <v>3.0916915435742098E-2</v>
      </c>
      <c r="H60">
        <v>31.284259925003202</v>
      </c>
      <c r="I60">
        <v>117.52048003065801</v>
      </c>
      <c r="J60">
        <v>1</v>
      </c>
      <c r="K60">
        <v>176</v>
      </c>
      <c r="L60" s="1">
        <v>2.67105608409994E-21</v>
      </c>
      <c r="M60" t="s">
        <v>78</v>
      </c>
      <c r="N60" t="s">
        <v>81</v>
      </c>
    </row>
    <row r="61" spans="1:14" x14ac:dyDescent="0.2">
      <c r="A61" t="s">
        <v>71</v>
      </c>
      <c r="B61">
        <v>0.34237229277942699</v>
      </c>
      <c r="C61">
        <v>-0.16924164559368299</v>
      </c>
      <c r="D61">
        <v>1.7730825711630999E-2</v>
      </c>
      <c r="E61">
        <v>-9.5450515585782707</v>
      </c>
      <c r="F61">
        <v>0.95525743621370796</v>
      </c>
      <c r="G61">
        <v>3.3815346206686601E-2</v>
      </c>
      <c r="H61">
        <v>28.249228334820899</v>
      </c>
      <c r="I61">
        <v>91.108009255917295</v>
      </c>
      <c r="J61">
        <v>1</v>
      </c>
      <c r="K61">
        <v>175</v>
      </c>
      <c r="L61" s="1">
        <v>1.20563919658973E-17</v>
      </c>
      <c r="M61" t="s">
        <v>78</v>
      </c>
      <c r="N61" t="s">
        <v>80</v>
      </c>
    </row>
  </sheetData>
  <sortState xmlns:xlrd2="http://schemas.microsoft.com/office/spreadsheetml/2017/richdata2" ref="A2:N61">
    <sortCondition ref="A2:A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D2E5-ECF1-784D-A16B-4F49E4068668}">
  <dimension ref="A1:Q61"/>
  <sheetViews>
    <sheetView zoomScale="59" workbookViewId="0">
      <selection sqref="A1:Q61"/>
    </sheetView>
  </sheetViews>
  <sheetFormatPr baseColWidth="10" defaultRowHeight="16" x14ac:dyDescent="0.2"/>
  <cols>
    <col min="4" max="4" width="54.6640625" bestFit="1" customWidth="1"/>
    <col min="5" max="5" width="24.6640625" customWidth="1"/>
    <col min="6" max="6" width="21.83203125" customWidth="1"/>
    <col min="12" max="12" width="18.33203125" customWidth="1"/>
  </cols>
  <sheetData>
    <row r="1" spans="1:17" x14ac:dyDescent="0.2">
      <c r="A1" t="s">
        <v>84</v>
      </c>
      <c r="B1" s="2" t="s">
        <v>72</v>
      </c>
      <c r="C1" s="2" t="s">
        <v>73</v>
      </c>
      <c r="D1" s="2" t="s">
        <v>97</v>
      </c>
      <c r="E1" s="2" t="s">
        <v>98</v>
      </c>
      <c r="F1" s="2" t="s">
        <v>99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</row>
    <row r="2" spans="1:17" x14ac:dyDescent="0.2">
      <c r="A2">
        <v>1</v>
      </c>
      <c r="B2" s="2" t="s">
        <v>74</v>
      </c>
      <c r="C2" s="2" t="s">
        <v>75</v>
      </c>
      <c r="D2" s="2" t="s">
        <v>15</v>
      </c>
      <c r="E2" s="6">
        <v>2281</v>
      </c>
      <c r="F2" s="6">
        <v>2252</v>
      </c>
      <c r="G2" s="2">
        <v>0.50568036999999999</v>
      </c>
      <c r="H2" s="2">
        <v>-0.14633080000000001</v>
      </c>
      <c r="I2" s="2">
        <v>1.304515E-2</v>
      </c>
      <c r="J2" s="2">
        <v>-11.217257</v>
      </c>
      <c r="K2" s="2">
        <v>0.90907473999999999</v>
      </c>
      <c r="L2" s="2">
        <v>2.4050249999999999E-2</v>
      </c>
      <c r="M2" s="2">
        <v>37.798969100000001</v>
      </c>
      <c r="N2" s="2">
        <v>125.826859</v>
      </c>
      <c r="O2" s="2">
        <v>1</v>
      </c>
      <c r="P2" s="2">
        <v>123</v>
      </c>
      <c r="Q2" s="3">
        <v>1.5199999999999999E-20</v>
      </c>
    </row>
    <row r="3" spans="1:17" x14ac:dyDescent="0.2">
      <c r="A3">
        <v>2</v>
      </c>
      <c r="B3" s="2" t="s">
        <v>74</v>
      </c>
      <c r="C3" s="2" t="s">
        <v>75</v>
      </c>
      <c r="D3" s="2" t="s">
        <v>37</v>
      </c>
      <c r="E3" s="6">
        <v>2229</v>
      </c>
      <c r="F3" s="6">
        <v>2202</v>
      </c>
      <c r="G3" s="2">
        <v>0.44001825</v>
      </c>
      <c r="H3" s="2">
        <v>-0.13903399999999999</v>
      </c>
      <c r="I3" s="2">
        <v>1.360024E-2</v>
      </c>
      <c r="J3" s="2">
        <v>-10.222903000000001</v>
      </c>
      <c r="K3" s="2">
        <v>0.90110895999999996</v>
      </c>
      <c r="L3" s="2">
        <v>2.5431970000000002E-2</v>
      </c>
      <c r="M3" s="2">
        <v>35.432131300000002</v>
      </c>
      <c r="N3" s="2">
        <v>104.507738</v>
      </c>
      <c r="O3" s="2">
        <v>1</v>
      </c>
      <c r="P3" s="2">
        <v>133</v>
      </c>
      <c r="Q3" s="3">
        <v>1.8500000000000002E-18</v>
      </c>
    </row>
    <row r="4" spans="1:17" x14ac:dyDescent="0.2">
      <c r="A4">
        <v>3</v>
      </c>
      <c r="B4" s="2" t="s">
        <v>74</v>
      </c>
      <c r="C4" s="2" t="s">
        <v>75</v>
      </c>
      <c r="D4" s="2" t="s">
        <v>39</v>
      </c>
      <c r="E4" s="6">
        <v>1379</v>
      </c>
      <c r="F4" s="6">
        <v>1355</v>
      </c>
      <c r="G4" s="2">
        <v>0.50812383999999999</v>
      </c>
      <c r="H4" s="2">
        <v>-0.1121978</v>
      </c>
      <c r="I4" s="2">
        <v>1.007712E-2</v>
      </c>
      <c r="J4" s="2">
        <v>-11.133905</v>
      </c>
      <c r="K4" s="2">
        <v>0.84476616000000004</v>
      </c>
      <c r="L4" s="2">
        <v>1.8610640000000001E-2</v>
      </c>
      <c r="M4" s="2">
        <v>45.391579800000002</v>
      </c>
      <c r="N4" s="2">
        <v>123.96384399999999</v>
      </c>
      <c r="O4" s="2">
        <v>1</v>
      </c>
      <c r="P4" s="2">
        <v>120</v>
      </c>
      <c r="Q4" s="3">
        <v>3.28E-20</v>
      </c>
    </row>
    <row r="5" spans="1:17" x14ac:dyDescent="0.2">
      <c r="A5">
        <v>4</v>
      </c>
      <c r="B5" s="2" t="s">
        <v>74</v>
      </c>
      <c r="C5" s="2" t="s">
        <v>75</v>
      </c>
      <c r="D5" s="2" t="s">
        <v>45</v>
      </c>
      <c r="E5" s="6">
        <v>1653</v>
      </c>
      <c r="F5" s="6">
        <v>1627</v>
      </c>
      <c r="G5" s="2">
        <v>0.48407898999999999</v>
      </c>
      <c r="H5" s="2">
        <v>-0.14457600000000001</v>
      </c>
      <c r="I5" s="2">
        <v>1.356866E-2</v>
      </c>
      <c r="J5" s="2">
        <v>-10.655141</v>
      </c>
      <c r="K5" s="2">
        <v>0.90537224999999999</v>
      </c>
      <c r="L5" s="2">
        <v>2.5003359999999999E-2</v>
      </c>
      <c r="M5" s="2">
        <v>36.210020999999998</v>
      </c>
      <c r="N5" s="2">
        <v>113.532027</v>
      </c>
      <c r="O5" s="2">
        <v>1</v>
      </c>
      <c r="P5" s="2">
        <v>121</v>
      </c>
      <c r="Q5" s="3">
        <v>4.2100000000000001E-19</v>
      </c>
    </row>
    <row r="6" spans="1:17" x14ac:dyDescent="0.2">
      <c r="A6">
        <v>5</v>
      </c>
      <c r="B6" s="2" t="s">
        <v>74</v>
      </c>
      <c r="C6" s="2" t="s">
        <v>75</v>
      </c>
      <c r="D6" s="2" t="s">
        <v>46</v>
      </c>
      <c r="E6" s="6">
        <v>2402</v>
      </c>
      <c r="F6" s="6">
        <v>2374</v>
      </c>
      <c r="G6" s="2">
        <v>0.36472773000000003</v>
      </c>
      <c r="H6" s="2">
        <v>-9.3226400000000001E-2</v>
      </c>
      <c r="I6" s="2">
        <v>1.0749770000000001E-2</v>
      </c>
      <c r="J6" s="2">
        <v>-8.6724157999999996</v>
      </c>
      <c r="K6" s="2">
        <v>0.81222125000000001</v>
      </c>
      <c r="L6" s="2">
        <v>2.0076449999999999E-2</v>
      </c>
      <c r="M6" s="2">
        <v>40.4564241</v>
      </c>
      <c r="N6" s="2">
        <v>75.210795300000001</v>
      </c>
      <c r="O6" s="2">
        <v>1</v>
      </c>
      <c r="P6" s="2">
        <v>131</v>
      </c>
      <c r="Q6" s="3">
        <v>1.41E-14</v>
      </c>
    </row>
    <row r="7" spans="1:17" x14ac:dyDescent="0.2">
      <c r="A7">
        <v>6</v>
      </c>
      <c r="B7" s="2" t="s">
        <v>74</v>
      </c>
      <c r="C7" s="2" t="s">
        <v>75</v>
      </c>
      <c r="D7" s="2" t="s">
        <v>49</v>
      </c>
      <c r="E7" s="6">
        <v>2503</v>
      </c>
      <c r="F7" s="6">
        <v>2475</v>
      </c>
      <c r="G7" s="2">
        <v>0.46600768999999997</v>
      </c>
      <c r="H7" s="2">
        <v>-0.14148740000000001</v>
      </c>
      <c r="I7" s="2">
        <v>1.3283629999999999E-2</v>
      </c>
      <c r="J7" s="2">
        <v>-10.651253000000001</v>
      </c>
      <c r="K7" s="2">
        <v>0.90202411999999998</v>
      </c>
      <c r="L7" s="2">
        <v>2.4661349999999999E-2</v>
      </c>
      <c r="M7" s="2">
        <v>36.576422600000001</v>
      </c>
      <c r="N7" s="2">
        <v>113.449201</v>
      </c>
      <c r="O7" s="2">
        <v>1</v>
      </c>
      <c r="P7" s="2">
        <v>130</v>
      </c>
      <c r="Q7" s="3">
        <v>1.98E-19</v>
      </c>
    </row>
    <row r="8" spans="1:17" x14ac:dyDescent="0.2">
      <c r="A8">
        <v>7</v>
      </c>
      <c r="B8" s="2" t="s">
        <v>74</v>
      </c>
      <c r="C8" s="2" t="s">
        <v>75</v>
      </c>
      <c r="D8" s="2" t="s">
        <v>58</v>
      </c>
      <c r="E8" s="6">
        <v>1528</v>
      </c>
      <c r="F8" s="6">
        <v>1504</v>
      </c>
      <c r="G8" s="2">
        <v>0.44085327000000002</v>
      </c>
      <c r="H8" s="2">
        <v>-0.13052849999999999</v>
      </c>
      <c r="I8" s="2">
        <v>1.29932E-2</v>
      </c>
      <c r="J8" s="2">
        <v>-10.045906</v>
      </c>
      <c r="K8" s="2">
        <v>0.88189114000000002</v>
      </c>
      <c r="L8" s="2">
        <v>2.4479290000000001E-2</v>
      </c>
      <c r="M8" s="2">
        <v>36.026009199999997</v>
      </c>
      <c r="N8" s="2">
        <v>100.920233</v>
      </c>
      <c r="O8" s="2">
        <v>1</v>
      </c>
      <c r="P8" s="2">
        <v>128</v>
      </c>
      <c r="Q8" s="3">
        <v>7.2900000000000005E-18</v>
      </c>
    </row>
    <row r="9" spans="1:17" x14ac:dyDescent="0.2">
      <c r="A9">
        <v>8</v>
      </c>
      <c r="B9" s="2" t="s">
        <v>74</v>
      </c>
      <c r="C9" s="2" t="s">
        <v>75</v>
      </c>
      <c r="D9" s="2" t="s">
        <v>62</v>
      </c>
      <c r="E9" s="6">
        <v>1758</v>
      </c>
      <c r="F9" s="6">
        <v>1731</v>
      </c>
      <c r="G9" s="2">
        <v>0.41849257000000001</v>
      </c>
      <c r="H9" s="2">
        <v>-0.104784</v>
      </c>
      <c r="I9" s="2">
        <v>1.1003819999999999E-2</v>
      </c>
      <c r="J9" s="2">
        <v>-9.5225117000000008</v>
      </c>
      <c r="K9" s="2">
        <v>0.83352780999999998</v>
      </c>
      <c r="L9" s="2">
        <v>2.055038E-2</v>
      </c>
      <c r="M9" s="2">
        <v>40.560221499999997</v>
      </c>
      <c r="N9" s="2">
        <v>90.678229799999997</v>
      </c>
      <c r="O9" s="2">
        <v>1</v>
      </c>
      <c r="P9" s="2">
        <v>126</v>
      </c>
      <c r="Q9" s="3">
        <v>1.59E-16</v>
      </c>
    </row>
    <row r="10" spans="1:17" x14ac:dyDescent="0.2">
      <c r="A10">
        <v>9</v>
      </c>
      <c r="B10" s="2" t="s">
        <v>74</v>
      </c>
      <c r="C10" s="2" t="s">
        <v>75</v>
      </c>
      <c r="D10" s="2" t="s">
        <v>65</v>
      </c>
      <c r="E10" s="6">
        <v>1339</v>
      </c>
      <c r="F10" s="6">
        <v>1314</v>
      </c>
      <c r="G10" s="2">
        <v>0.48800874999999999</v>
      </c>
      <c r="H10" s="2">
        <v>-0.16343350000000001</v>
      </c>
      <c r="I10" s="2">
        <v>1.547624E-2</v>
      </c>
      <c r="J10" s="2">
        <v>-10.560281</v>
      </c>
      <c r="K10" s="2">
        <v>0.94148008999999999</v>
      </c>
      <c r="L10" s="2">
        <v>2.8425510000000001E-2</v>
      </c>
      <c r="M10" s="2">
        <v>33.120955899999998</v>
      </c>
      <c r="N10" s="2">
        <v>111.519532</v>
      </c>
      <c r="O10" s="2">
        <v>1</v>
      </c>
      <c r="P10" s="2">
        <v>117</v>
      </c>
      <c r="Q10" s="3">
        <v>1.0299999999999999E-18</v>
      </c>
    </row>
    <row r="11" spans="1:17" x14ac:dyDescent="0.2">
      <c r="A11">
        <v>10</v>
      </c>
      <c r="B11" s="2" t="s">
        <v>74</v>
      </c>
      <c r="C11" s="2" t="s">
        <v>75</v>
      </c>
      <c r="D11" s="2" t="s">
        <v>66</v>
      </c>
      <c r="E11" s="2">
        <v>1971</v>
      </c>
      <c r="F11" s="6">
        <v>1945</v>
      </c>
      <c r="G11" s="2">
        <v>0.52550785</v>
      </c>
      <c r="H11" s="2">
        <v>-0.14446780000000001</v>
      </c>
      <c r="I11" s="2">
        <v>1.208652E-2</v>
      </c>
      <c r="J11" s="2">
        <v>-11.952807999999999</v>
      </c>
      <c r="K11" s="2">
        <v>0.90772430999999998</v>
      </c>
      <c r="L11" s="2">
        <v>2.2556260000000002E-2</v>
      </c>
      <c r="M11" s="2">
        <v>40.242674800000003</v>
      </c>
      <c r="N11" s="2">
        <v>142.869618</v>
      </c>
      <c r="O11" s="2">
        <v>1</v>
      </c>
      <c r="P11" s="2">
        <v>129</v>
      </c>
      <c r="Q11" s="3">
        <v>1.26E-22</v>
      </c>
    </row>
    <row r="12" spans="1:17" x14ac:dyDescent="0.2">
      <c r="A12">
        <v>11</v>
      </c>
      <c r="B12" s="2" t="s">
        <v>76</v>
      </c>
      <c r="C12" s="2" t="s">
        <v>77</v>
      </c>
      <c r="D12" s="2" t="s">
        <v>12</v>
      </c>
      <c r="E12" s="6">
        <v>3422</v>
      </c>
      <c r="F12" s="6">
        <v>3420</v>
      </c>
      <c r="G12" s="2">
        <v>0.54378632000000005</v>
      </c>
      <c r="H12" s="2">
        <v>-0.13297310000000001</v>
      </c>
      <c r="I12" s="2">
        <v>9.9446199999999995E-3</v>
      </c>
      <c r="J12" s="2">
        <v>-13.371361</v>
      </c>
      <c r="K12" s="2">
        <v>0.88633843000000001</v>
      </c>
      <c r="L12" s="2">
        <v>1.898615E-2</v>
      </c>
      <c r="M12" s="2">
        <v>46.683413399999999</v>
      </c>
      <c r="N12" s="2">
        <v>178.793297</v>
      </c>
      <c r="O12" s="2">
        <v>1</v>
      </c>
      <c r="P12" s="2">
        <v>150</v>
      </c>
      <c r="Q12" s="3">
        <v>2.4E-27</v>
      </c>
    </row>
    <row r="13" spans="1:17" x14ac:dyDescent="0.2">
      <c r="A13">
        <v>12</v>
      </c>
      <c r="B13" s="2" t="s">
        <v>76</v>
      </c>
      <c r="C13" s="2" t="s">
        <v>77</v>
      </c>
      <c r="D13" s="2" t="s">
        <v>16</v>
      </c>
      <c r="E13" s="6">
        <v>2211</v>
      </c>
      <c r="F13" s="6">
        <v>2207</v>
      </c>
      <c r="G13" s="2">
        <v>0.49971357999999999</v>
      </c>
      <c r="H13" s="2">
        <v>-0.13886889999999999</v>
      </c>
      <c r="I13" s="2">
        <v>1.213998E-2</v>
      </c>
      <c r="J13" s="2">
        <v>-11.438969</v>
      </c>
      <c r="K13" s="2">
        <v>0.89944634000000001</v>
      </c>
      <c r="L13" s="2">
        <v>2.2554709999999999E-2</v>
      </c>
      <c r="M13" s="2">
        <v>39.8784323</v>
      </c>
      <c r="N13" s="2">
        <v>130.85000099999999</v>
      </c>
      <c r="O13" s="2">
        <v>1</v>
      </c>
      <c r="P13" s="2">
        <v>131</v>
      </c>
      <c r="Q13" s="3">
        <v>1.9400000000000002E-21</v>
      </c>
    </row>
    <row r="14" spans="1:17" x14ac:dyDescent="0.2">
      <c r="A14">
        <v>13</v>
      </c>
      <c r="B14" s="2" t="s">
        <v>76</v>
      </c>
      <c r="C14" s="2" t="s">
        <v>77</v>
      </c>
      <c r="D14" s="2" t="s">
        <v>29</v>
      </c>
      <c r="E14" s="6">
        <v>3467</v>
      </c>
      <c r="F14" s="6">
        <v>3465</v>
      </c>
      <c r="G14" s="2">
        <v>0.50871465999999999</v>
      </c>
      <c r="H14" s="2">
        <v>-0.13908280000000001</v>
      </c>
      <c r="I14" s="2">
        <v>1.1429709999999999E-2</v>
      </c>
      <c r="J14" s="2">
        <v>-12.168533999999999</v>
      </c>
      <c r="K14" s="2">
        <v>0.89409598000000001</v>
      </c>
      <c r="L14" s="2">
        <v>2.1717360000000002E-2</v>
      </c>
      <c r="M14" s="2">
        <v>41.169638300000003</v>
      </c>
      <c r="N14" s="2">
        <v>148.07320899999999</v>
      </c>
      <c r="O14" s="2">
        <v>1</v>
      </c>
      <c r="P14" s="2">
        <v>143</v>
      </c>
      <c r="Q14" s="3">
        <v>7.9000000000000004E-24</v>
      </c>
    </row>
    <row r="15" spans="1:17" x14ac:dyDescent="0.2">
      <c r="A15">
        <v>14</v>
      </c>
      <c r="B15" s="2" t="s">
        <v>76</v>
      </c>
      <c r="C15" s="2" t="s">
        <v>77</v>
      </c>
      <c r="D15" s="2" t="s">
        <v>34</v>
      </c>
      <c r="E15" s="6">
        <v>1891</v>
      </c>
      <c r="F15" s="6">
        <v>1890</v>
      </c>
      <c r="G15" s="2">
        <v>0.43402552999999999</v>
      </c>
      <c r="H15" s="2">
        <v>-0.113736</v>
      </c>
      <c r="I15" s="2">
        <v>1.14352E-2</v>
      </c>
      <c r="J15" s="2">
        <v>-9.9461286999999992</v>
      </c>
      <c r="K15" s="2">
        <v>0.85038334000000004</v>
      </c>
      <c r="L15" s="2">
        <v>2.1390929999999999E-2</v>
      </c>
      <c r="M15" s="2">
        <v>39.754391599999998</v>
      </c>
      <c r="N15" s="2">
        <v>98.925475899999995</v>
      </c>
      <c r="O15" s="2">
        <v>1</v>
      </c>
      <c r="P15" s="2">
        <v>129</v>
      </c>
      <c r="Q15" s="3">
        <v>1.1999999999999999E-17</v>
      </c>
    </row>
    <row r="16" spans="1:17" x14ac:dyDescent="0.2">
      <c r="A16">
        <v>15</v>
      </c>
      <c r="B16" s="2" t="s">
        <v>76</v>
      </c>
      <c r="C16" s="2" t="s">
        <v>77</v>
      </c>
      <c r="D16" s="2" t="s">
        <v>42</v>
      </c>
      <c r="E16" s="6">
        <v>2018</v>
      </c>
      <c r="F16" s="6">
        <v>2015</v>
      </c>
      <c r="G16" s="2">
        <v>0.46157013000000002</v>
      </c>
      <c r="H16" s="2">
        <v>-0.1283088</v>
      </c>
      <c r="I16" s="2">
        <v>1.201646E-2</v>
      </c>
      <c r="J16" s="2">
        <v>-10.677759</v>
      </c>
      <c r="K16" s="2">
        <v>0.87415885999999998</v>
      </c>
      <c r="L16" s="2">
        <v>2.239435E-2</v>
      </c>
      <c r="M16" s="2">
        <v>39.0347905</v>
      </c>
      <c r="N16" s="2">
        <v>114.014529</v>
      </c>
      <c r="O16" s="2">
        <v>1</v>
      </c>
      <c r="P16" s="2">
        <v>133</v>
      </c>
      <c r="Q16" s="3">
        <v>1.3300000000000001E-19</v>
      </c>
    </row>
    <row r="17" spans="1:17" x14ac:dyDescent="0.2">
      <c r="A17">
        <v>16</v>
      </c>
      <c r="B17" s="2" t="s">
        <v>76</v>
      </c>
      <c r="C17" s="2" t="s">
        <v>77</v>
      </c>
      <c r="D17" s="2" t="s">
        <v>52</v>
      </c>
      <c r="E17" s="6">
        <v>5048</v>
      </c>
      <c r="F17" s="6">
        <v>5044</v>
      </c>
      <c r="G17" s="2">
        <v>0.53884639000000001</v>
      </c>
      <c r="H17" s="2">
        <v>-0.13274610000000001</v>
      </c>
      <c r="I17" s="2">
        <v>9.8958199999999996E-3</v>
      </c>
      <c r="J17" s="2">
        <v>-13.414363</v>
      </c>
      <c r="K17" s="2">
        <v>0.88885853000000004</v>
      </c>
      <c r="L17" s="2">
        <v>1.9012069999999999E-2</v>
      </c>
      <c r="M17" s="2">
        <v>46.752338700000003</v>
      </c>
      <c r="N17" s="2">
        <v>179.94512800000001</v>
      </c>
      <c r="O17" s="2">
        <v>1</v>
      </c>
      <c r="P17" s="2">
        <v>154</v>
      </c>
      <c r="Q17" s="3">
        <v>1.1400000000000001E-27</v>
      </c>
    </row>
    <row r="18" spans="1:17" x14ac:dyDescent="0.2">
      <c r="A18">
        <v>17</v>
      </c>
      <c r="B18" s="2" t="s">
        <v>76</v>
      </c>
      <c r="C18" s="2" t="s">
        <v>77</v>
      </c>
      <c r="D18" s="2" t="s">
        <v>54</v>
      </c>
      <c r="E18" s="6">
        <v>2086</v>
      </c>
      <c r="F18" s="6">
        <v>2085</v>
      </c>
      <c r="G18" s="2">
        <v>0.45198581999999998</v>
      </c>
      <c r="H18" s="2">
        <v>-0.1177086</v>
      </c>
      <c r="I18" s="2">
        <v>1.099346E-2</v>
      </c>
      <c r="J18" s="2">
        <v>-10.707151</v>
      </c>
      <c r="K18" s="2">
        <v>0.85809175000000004</v>
      </c>
      <c r="L18" s="2">
        <v>2.0961E-2</v>
      </c>
      <c r="M18" s="2">
        <v>40.937545</v>
      </c>
      <c r="N18" s="2">
        <v>114.643073</v>
      </c>
      <c r="O18" s="2">
        <v>1</v>
      </c>
      <c r="P18" s="2">
        <v>139</v>
      </c>
      <c r="Q18" s="3">
        <v>6.9899999999999997E-20</v>
      </c>
    </row>
    <row r="19" spans="1:17" x14ac:dyDescent="0.2">
      <c r="A19">
        <v>18</v>
      </c>
      <c r="B19" s="2" t="s">
        <v>76</v>
      </c>
      <c r="C19" s="2" t="s">
        <v>77</v>
      </c>
      <c r="D19" s="2" t="s">
        <v>59</v>
      </c>
      <c r="E19" s="6">
        <v>1508</v>
      </c>
      <c r="F19" s="6">
        <v>1506</v>
      </c>
      <c r="G19" s="2">
        <v>0.39997272</v>
      </c>
      <c r="H19" s="2">
        <v>-0.1042366</v>
      </c>
      <c r="I19" s="2">
        <v>1.151166E-2</v>
      </c>
      <c r="J19" s="2">
        <v>-9.0548704000000004</v>
      </c>
      <c r="K19" s="2">
        <v>0.83463472999999999</v>
      </c>
      <c r="L19" s="2">
        <v>2.1470510000000002E-2</v>
      </c>
      <c r="M19" s="2">
        <v>38.873541899999999</v>
      </c>
      <c r="N19" s="2">
        <v>81.990678099999997</v>
      </c>
      <c r="O19" s="2">
        <v>1</v>
      </c>
      <c r="P19" s="2">
        <v>123</v>
      </c>
      <c r="Q19" s="3">
        <v>2.5600000000000002E-15</v>
      </c>
    </row>
    <row r="20" spans="1:17" x14ac:dyDescent="0.2">
      <c r="A20">
        <v>19</v>
      </c>
      <c r="B20" s="2" t="s">
        <v>76</v>
      </c>
      <c r="C20" s="2" t="s">
        <v>77</v>
      </c>
      <c r="D20" s="2" t="s">
        <v>61</v>
      </c>
      <c r="E20" s="6">
        <v>2237</v>
      </c>
      <c r="F20" s="6">
        <v>2237</v>
      </c>
      <c r="G20" s="2">
        <v>0.51878548999999996</v>
      </c>
      <c r="H20" s="2">
        <v>-0.1491315</v>
      </c>
      <c r="I20" s="2">
        <v>1.2549009999999999E-2</v>
      </c>
      <c r="J20" s="2">
        <v>-11.883933000000001</v>
      </c>
      <c r="K20" s="2">
        <v>0.91834937999999999</v>
      </c>
      <c r="L20" s="2">
        <v>2.3348440000000002E-2</v>
      </c>
      <c r="M20" s="2">
        <v>39.332372800000002</v>
      </c>
      <c r="N20" s="2">
        <v>141.22786500000001</v>
      </c>
      <c r="O20" s="2">
        <v>1</v>
      </c>
      <c r="P20" s="2">
        <v>131</v>
      </c>
      <c r="Q20" s="3">
        <v>1.5E-22</v>
      </c>
    </row>
    <row r="21" spans="1:17" x14ac:dyDescent="0.2">
      <c r="A21">
        <v>20</v>
      </c>
      <c r="B21" s="2" t="s">
        <v>76</v>
      </c>
      <c r="C21" s="2" t="s">
        <v>77</v>
      </c>
      <c r="D21" s="2" t="s">
        <v>63</v>
      </c>
      <c r="E21" s="6">
        <v>4589</v>
      </c>
      <c r="F21" s="6">
        <v>4587</v>
      </c>
      <c r="G21" s="2">
        <v>0.60667764000000002</v>
      </c>
      <c r="H21" s="2">
        <v>-0.14219300000000001</v>
      </c>
      <c r="I21" s="2">
        <v>9.0232000000000003E-3</v>
      </c>
      <c r="J21" s="2">
        <v>-15.758599</v>
      </c>
      <c r="K21" s="2">
        <v>0.90508334000000001</v>
      </c>
      <c r="L21" s="2">
        <v>1.741467E-2</v>
      </c>
      <c r="M21" s="2">
        <v>51.972469799999999</v>
      </c>
      <c r="N21" s="2">
        <v>248.333451</v>
      </c>
      <c r="O21" s="2">
        <v>1</v>
      </c>
      <c r="P21" s="2">
        <v>161</v>
      </c>
      <c r="Q21" s="3">
        <v>1.9100000000000001E-34</v>
      </c>
    </row>
    <row r="22" spans="1:17" x14ac:dyDescent="0.2">
      <c r="A22">
        <v>21</v>
      </c>
      <c r="B22" s="2" t="s">
        <v>76</v>
      </c>
      <c r="C22" s="2" t="s">
        <v>77</v>
      </c>
      <c r="D22" s="2" t="s">
        <v>67</v>
      </c>
      <c r="E22" s="6">
        <v>4200</v>
      </c>
      <c r="F22" s="6">
        <v>4194</v>
      </c>
      <c r="G22" s="2">
        <v>0.53617026000000001</v>
      </c>
      <c r="H22" s="2">
        <v>-0.1362082</v>
      </c>
      <c r="I22" s="2">
        <v>1.0520760000000001E-2</v>
      </c>
      <c r="J22" s="2">
        <v>-12.94661</v>
      </c>
      <c r="K22" s="2">
        <v>0.89438218000000003</v>
      </c>
      <c r="L22" s="2">
        <v>1.9910919999999999E-2</v>
      </c>
      <c r="M22" s="2">
        <v>44.919169099999998</v>
      </c>
      <c r="N22" s="2">
        <v>167.614709</v>
      </c>
      <c r="O22" s="2">
        <v>1</v>
      </c>
      <c r="P22" s="2">
        <v>145</v>
      </c>
      <c r="Q22" s="3">
        <v>5.8099999999999996E-26</v>
      </c>
    </row>
    <row r="23" spans="1:17" x14ac:dyDescent="0.2">
      <c r="A23">
        <v>22</v>
      </c>
      <c r="B23" s="2" t="s">
        <v>78</v>
      </c>
      <c r="C23" s="2" t="s">
        <v>79</v>
      </c>
      <c r="D23" s="2" t="s">
        <v>17</v>
      </c>
      <c r="E23" s="6">
        <v>9710</v>
      </c>
      <c r="F23" s="6">
        <v>9666</v>
      </c>
      <c r="G23" s="2">
        <v>0.36555936999999999</v>
      </c>
      <c r="H23" s="2">
        <v>-0.13387470000000001</v>
      </c>
      <c r="I23" s="2">
        <v>1.321919E-2</v>
      </c>
      <c r="J23" s="2">
        <v>-10.127295</v>
      </c>
      <c r="K23" s="2">
        <v>0.88902413000000002</v>
      </c>
      <c r="L23" s="2">
        <v>2.5683709999999998E-2</v>
      </c>
      <c r="M23" s="2">
        <v>34.614318699999998</v>
      </c>
      <c r="N23" s="2">
        <v>102.562106</v>
      </c>
      <c r="O23" s="2">
        <v>1</v>
      </c>
      <c r="P23" s="2">
        <v>178</v>
      </c>
      <c r="Q23" s="3">
        <v>2.5300000000000002E-19</v>
      </c>
    </row>
    <row r="24" spans="1:17" x14ac:dyDescent="0.2">
      <c r="A24">
        <v>23</v>
      </c>
      <c r="B24" s="2" t="s">
        <v>78</v>
      </c>
      <c r="C24" s="2" t="s">
        <v>79</v>
      </c>
      <c r="D24" s="2" t="s">
        <v>21</v>
      </c>
      <c r="E24" s="6">
        <v>4841</v>
      </c>
      <c r="F24" s="6">
        <v>4805</v>
      </c>
      <c r="G24" s="2">
        <v>0.35315216999999999</v>
      </c>
      <c r="H24" s="2">
        <v>-0.12159200000000001</v>
      </c>
      <c r="I24" s="2">
        <v>1.296917E-2</v>
      </c>
      <c r="J24" s="2">
        <v>-9.3754650000000002</v>
      </c>
      <c r="K24" s="2">
        <v>0.86928757000000001</v>
      </c>
      <c r="L24" s="2">
        <v>2.4840569999999999E-2</v>
      </c>
      <c r="M24" s="2">
        <v>34.9946719</v>
      </c>
      <c r="N24" s="2">
        <v>87.8993447</v>
      </c>
      <c r="O24" s="2">
        <v>1</v>
      </c>
      <c r="P24" s="2">
        <v>161</v>
      </c>
      <c r="Q24" s="3">
        <v>6.1500000000000001E-17</v>
      </c>
    </row>
    <row r="25" spans="1:17" x14ac:dyDescent="0.2">
      <c r="A25">
        <v>24</v>
      </c>
      <c r="B25" s="2" t="s">
        <v>78</v>
      </c>
      <c r="C25" s="2" t="s">
        <v>79</v>
      </c>
      <c r="D25" s="2" t="s">
        <v>23</v>
      </c>
      <c r="E25" s="6">
        <v>8874</v>
      </c>
      <c r="F25" s="6">
        <v>8828</v>
      </c>
      <c r="G25" s="2">
        <v>0.37729473000000002</v>
      </c>
      <c r="H25" s="2">
        <v>-0.1564296</v>
      </c>
      <c r="I25" s="2">
        <v>1.506294E-2</v>
      </c>
      <c r="J25" s="2">
        <v>-10.385062</v>
      </c>
      <c r="K25" s="2">
        <v>0.93496356000000003</v>
      </c>
      <c r="L25" s="2">
        <v>2.9263819999999999E-2</v>
      </c>
      <c r="M25" s="2">
        <v>31.949469100000002</v>
      </c>
      <c r="N25" s="2">
        <v>107.84951700000001</v>
      </c>
      <c r="O25" s="2">
        <v>1</v>
      </c>
      <c r="P25" s="2">
        <v>178</v>
      </c>
      <c r="Q25" s="3">
        <v>4.7299999999999999E-20</v>
      </c>
    </row>
    <row r="26" spans="1:17" x14ac:dyDescent="0.2">
      <c r="A26">
        <v>25</v>
      </c>
      <c r="B26" s="2" t="s">
        <v>78</v>
      </c>
      <c r="C26" s="2" t="s">
        <v>79</v>
      </c>
      <c r="D26" s="2" t="s">
        <v>27</v>
      </c>
      <c r="E26" s="6">
        <v>8840</v>
      </c>
      <c r="F26" s="6">
        <v>8807</v>
      </c>
      <c r="G26" s="2">
        <v>0.34328509000000001</v>
      </c>
      <c r="H26" s="2">
        <v>-0.12323919999999999</v>
      </c>
      <c r="I26" s="2">
        <v>1.2885189999999999E-2</v>
      </c>
      <c r="J26" s="2">
        <v>-9.5644071999999998</v>
      </c>
      <c r="K26" s="2">
        <v>0.86908962999999995</v>
      </c>
      <c r="L26" s="2">
        <v>2.498477E-2</v>
      </c>
      <c r="M26" s="2">
        <v>34.784781000000002</v>
      </c>
      <c r="N26" s="2">
        <v>91.477885700000002</v>
      </c>
      <c r="O26" s="2">
        <v>1</v>
      </c>
      <c r="P26" s="2">
        <v>175</v>
      </c>
      <c r="Q26" s="3">
        <v>1.07E-17</v>
      </c>
    </row>
    <row r="27" spans="1:17" x14ac:dyDescent="0.2">
      <c r="A27">
        <v>26</v>
      </c>
      <c r="B27" s="2" t="s">
        <v>78</v>
      </c>
      <c r="C27" s="2" t="s">
        <v>79</v>
      </c>
      <c r="D27" s="2" t="s">
        <v>33</v>
      </c>
      <c r="E27" s="6">
        <v>4417</v>
      </c>
      <c r="F27" s="6">
        <v>4385</v>
      </c>
      <c r="G27" s="2">
        <v>0.36771239</v>
      </c>
      <c r="H27" s="2">
        <v>-0.1300695</v>
      </c>
      <c r="I27" s="2">
        <v>1.361222E-2</v>
      </c>
      <c r="J27" s="2">
        <v>-9.5553504999999994</v>
      </c>
      <c r="K27" s="2">
        <v>0.8855769</v>
      </c>
      <c r="L27" s="2">
        <v>2.591922E-2</v>
      </c>
      <c r="M27" s="2">
        <v>34.166802400000002</v>
      </c>
      <c r="N27" s="2">
        <v>91.304723600000003</v>
      </c>
      <c r="O27" s="2">
        <v>1</v>
      </c>
      <c r="P27" s="2">
        <v>157</v>
      </c>
      <c r="Q27" s="3">
        <v>2.44E-17</v>
      </c>
    </row>
    <row r="28" spans="1:17" x14ac:dyDescent="0.2">
      <c r="A28">
        <v>27</v>
      </c>
      <c r="B28" s="2" t="s">
        <v>78</v>
      </c>
      <c r="C28" s="2" t="s">
        <v>79</v>
      </c>
      <c r="D28" s="2" t="s">
        <v>40</v>
      </c>
      <c r="E28" s="6">
        <v>10387</v>
      </c>
      <c r="F28" s="6">
        <v>10347</v>
      </c>
      <c r="G28" s="2">
        <v>0.39182091000000002</v>
      </c>
      <c r="H28" s="2">
        <v>-0.145205</v>
      </c>
      <c r="I28" s="2">
        <v>1.3714459999999999E-2</v>
      </c>
      <c r="J28" s="2">
        <v>-10.587726</v>
      </c>
      <c r="K28" s="2">
        <v>0.91312349000000004</v>
      </c>
      <c r="L28" s="2">
        <v>2.650947E-2</v>
      </c>
      <c r="M28" s="2">
        <v>34.445183200000002</v>
      </c>
      <c r="N28" s="2">
        <v>112.099936</v>
      </c>
      <c r="O28" s="2">
        <v>1</v>
      </c>
      <c r="P28" s="2">
        <v>174</v>
      </c>
      <c r="Q28" s="3">
        <v>1.55E-20</v>
      </c>
    </row>
    <row r="29" spans="1:17" x14ac:dyDescent="0.2">
      <c r="A29">
        <v>28</v>
      </c>
      <c r="B29" s="2" t="s">
        <v>78</v>
      </c>
      <c r="C29" s="2" t="s">
        <v>79</v>
      </c>
      <c r="D29" s="2" t="s">
        <v>41</v>
      </c>
      <c r="E29" s="6">
        <v>4644</v>
      </c>
      <c r="F29" s="6">
        <v>4615</v>
      </c>
      <c r="G29" s="2">
        <v>0.34762834999999997</v>
      </c>
      <c r="H29" s="2">
        <v>-0.12190819999999999</v>
      </c>
      <c r="I29" s="2">
        <v>1.3545690000000001E-2</v>
      </c>
      <c r="J29" s="2">
        <v>-8.9997790999999996</v>
      </c>
      <c r="K29" s="2">
        <v>0.86872236999999997</v>
      </c>
      <c r="L29" s="2">
        <v>2.5694560000000002E-2</v>
      </c>
      <c r="M29" s="2">
        <v>33.809589199999998</v>
      </c>
      <c r="N29" s="2">
        <v>80.996024700000007</v>
      </c>
      <c r="O29" s="2">
        <v>1</v>
      </c>
      <c r="P29" s="2">
        <v>152</v>
      </c>
      <c r="Q29" s="3">
        <v>8.6300000000000002E-16</v>
      </c>
    </row>
    <row r="30" spans="1:17" x14ac:dyDescent="0.2">
      <c r="A30">
        <v>29</v>
      </c>
      <c r="B30" s="2" t="s">
        <v>78</v>
      </c>
      <c r="C30" s="2" t="s">
        <v>79</v>
      </c>
      <c r="D30" s="2" t="s">
        <v>50</v>
      </c>
      <c r="E30" s="6">
        <v>7485</v>
      </c>
      <c r="F30" s="6">
        <v>7444</v>
      </c>
      <c r="G30" s="2">
        <v>0.38862301999999999</v>
      </c>
      <c r="H30" s="2">
        <v>-0.1699957</v>
      </c>
      <c r="I30" s="2">
        <v>1.6210829999999999E-2</v>
      </c>
      <c r="J30" s="2">
        <v>-10.486553000000001</v>
      </c>
      <c r="K30" s="2">
        <v>0.96100569999999996</v>
      </c>
      <c r="L30" s="2">
        <v>3.128359E-2</v>
      </c>
      <c r="M30" s="2">
        <v>30.7191671</v>
      </c>
      <c r="N30" s="2">
        <v>109.96780099999999</v>
      </c>
      <c r="O30" s="2">
        <v>1</v>
      </c>
      <c r="P30" s="2">
        <v>173</v>
      </c>
      <c r="Q30" s="3">
        <v>3.1600000000000002E-20</v>
      </c>
    </row>
    <row r="31" spans="1:17" x14ac:dyDescent="0.2">
      <c r="A31">
        <v>30</v>
      </c>
      <c r="B31" s="2" t="s">
        <v>78</v>
      </c>
      <c r="C31" s="2" t="s">
        <v>79</v>
      </c>
      <c r="D31" s="2" t="s">
        <v>56</v>
      </c>
      <c r="E31" s="6">
        <v>8223</v>
      </c>
      <c r="F31" s="6">
        <v>8190</v>
      </c>
      <c r="G31" s="2">
        <v>0.33341817000000001</v>
      </c>
      <c r="H31" s="2">
        <v>-0.12525420000000001</v>
      </c>
      <c r="I31" s="2">
        <v>1.33496E-2</v>
      </c>
      <c r="J31" s="2">
        <v>-9.3826222000000001</v>
      </c>
      <c r="K31" s="2">
        <v>0.87304968000000005</v>
      </c>
      <c r="L31" s="2">
        <v>2.5975680000000001E-2</v>
      </c>
      <c r="M31" s="2">
        <v>33.610267299999997</v>
      </c>
      <c r="N31" s="2">
        <v>88.033598600000005</v>
      </c>
      <c r="O31" s="2">
        <v>1</v>
      </c>
      <c r="P31" s="2">
        <v>176</v>
      </c>
      <c r="Q31" s="3">
        <v>3.2499999999999998E-17</v>
      </c>
    </row>
    <row r="32" spans="1:17" x14ac:dyDescent="0.2">
      <c r="A32">
        <v>31</v>
      </c>
      <c r="B32" s="2" t="s">
        <v>78</v>
      </c>
      <c r="C32" s="2" t="s">
        <v>79</v>
      </c>
      <c r="D32" s="2" t="s">
        <v>64</v>
      </c>
      <c r="E32" s="6">
        <v>5527</v>
      </c>
      <c r="F32" s="6">
        <v>5370</v>
      </c>
      <c r="G32" s="2">
        <v>0.34367082999999998</v>
      </c>
      <c r="H32" s="2">
        <v>-0.1238501</v>
      </c>
      <c r="I32" s="2">
        <v>1.344709E-2</v>
      </c>
      <c r="J32" s="2">
        <v>-9.2101772000000004</v>
      </c>
      <c r="K32" s="2">
        <v>0.87320282000000005</v>
      </c>
      <c r="L32" s="2">
        <v>2.5726120000000002E-2</v>
      </c>
      <c r="M32" s="2">
        <v>33.942269099999997</v>
      </c>
      <c r="N32" s="2">
        <v>84.827364700000004</v>
      </c>
      <c r="O32" s="2">
        <v>1</v>
      </c>
      <c r="P32" s="2">
        <v>162</v>
      </c>
      <c r="Q32" s="3">
        <v>1.6199999999999999E-16</v>
      </c>
    </row>
    <row r="33" spans="1:17" x14ac:dyDescent="0.2">
      <c r="A33">
        <v>32</v>
      </c>
      <c r="B33" s="2" t="s">
        <v>78</v>
      </c>
      <c r="C33" s="2" t="s">
        <v>80</v>
      </c>
      <c r="D33" s="2" t="s">
        <v>13</v>
      </c>
      <c r="E33" s="6">
        <v>30043</v>
      </c>
      <c r="F33" s="6">
        <v>29985</v>
      </c>
      <c r="G33" s="2">
        <v>0.29103701999999998</v>
      </c>
      <c r="H33" s="2">
        <v>-0.1556381</v>
      </c>
      <c r="I33" s="2">
        <v>1.836262E-2</v>
      </c>
      <c r="J33" s="2">
        <v>-8.4758128999999993</v>
      </c>
      <c r="K33" s="2">
        <v>0.93199894000000005</v>
      </c>
      <c r="L33" s="2">
        <v>3.5414849999999998E-2</v>
      </c>
      <c r="M33" s="2">
        <v>26.316612299999999</v>
      </c>
      <c r="N33" s="2">
        <v>71.839404000000002</v>
      </c>
      <c r="O33" s="2">
        <v>1</v>
      </c>
      <c r="P33" s="2">
        <v>175</v>
      </c>
      <c r="Q33" s="3">
        <v>9.3700000000000004E-15</v>
      </c>
    </row>
    <row r="34" spans="1:17" x14ac:dyDescent="0.2">
      <c r="A34">
        <v>33</v>
      </c>
      <c r="B34" s="2" t="s">
        <v>78</v>
      </c>
      <c r="C34" s="2" t="s">
        <v>80</v>
      </c>
      <c r="D34" s="2" t="s">
        <v>20</v>
      </c>
      <c r="E34" s="6">
        <v>29666</v>
      </c>
      <c r="F34" s="6">
        <v>29544</v>
      </c>
      <c r="G34" s="2">
        <v>0.35649134999999998</v>
      </c>
      <c r="H34" s="2">
        <v>-0.18234040000000001</v>
      </c>
      <c r="I34" s="2">
        <v>1.862569E-2</v>
      </c>
      <c r="J34" s="2">
        <v>-9.7897219999999994</v>
      </c>
      <c r="K34" s="2">
        <v>0.98440885</v>
      </c>
      <c r="L34" s="2">
        <v>3.5743329999999997E-2</v>
      </c>
      <c r="M34" s="2">
        <v>27.541051199999998</v>
      </c>
      <c r="N34" s="2">
        <v>95.838657100000006</v>
      </c>
      <c r="O34" s="2">
        <v>1</v>
      </c>
      <c r="P34" s="2">
        <v>173</v>
      </c>
      <c r="Q34" s="3">
        <v>2.7699999999999999E-18</v>
      </c>
    </row>
    <row r="35" spans="1:17" x14ac:dyDescent="0.2">
      <c r="A35">
        <v>34</v>
      </c>
      <c r="B35" s="2" t="s">
        <v>78</v>
      </c>
      <c r="C35" s="2" t="s">
        <v>80</v>
      </c>
      <c r="D35" s="2" t="s">
        <v>26</v>
      </c>
      <c r="E35" s="6">
        <v>15488</v>
      </c>
      <c r="F35" s="6">
        <v>15445</v>
      </c>
      <c r="G35" s="2">
        <v>0.24151033</v>
      </c>
      <c r="H35" s="2">
        <v>-0.13242209999999999</v>
      </c>
      <c r="I35" s="2">
        <v>1.7491659999999999E-2</v>
      </c>
      <c r="J35" s="2">
        <v>-7.5705821000000002</v>
      </c>
      <c r="K35" s="2">
        <v>0.88074443999999996</v>
      </c>
      <c r="L35" s="2">
        <v>3.375599E-2</v>
      </c>
      <c r="M35" s="2">
        <v>26.091501699999998</v>
      </c>
      <c r="N35" s="2">
        <v>57.313713800000002</v>
      </c>
      <c r="O35" s="2">
        <v>1</v>
      </c>
      <c r="P35" s="2">
        <v>180</v>
      </c>
      <c r="Q35" s="3">
        <v>1.8600000000000002E-12</v>
      </c>
    </row>
    <row r="36" spans="1:17" x14ac:dyDescent="0.2">
      <c r="A36">
        <v>35</v>
      </c>
      <c r="B36" s="2" t="s">
        <v>78</v>
      </c>
      <c r="C36" s="2" t="s">
        <v>80</v>
      </c>
      <c r="D36" s="2" t="s">
        <v>30</v>
      </c>
      <c r="E36" s="6">
        <v>67384</v>
      </c>
      <c r="F36" s="6">
        <v>67254</v>
      </c>
      <c r="G36" s="2">
        <v>0.26729986</v>
      </c>
      <c r="H36" s="2">
        <v>-0.1495476</v>
      </c>
      <c r="I36" s="2">
        <v>1.8403639999999999E-2</v>
      </c>
      <c r="J36" s="2">
        <v>-8.1259756000000003</v>
      </c>
      <c r="K36" s="2">
        <v>0.91389496000000003</v>
      </c>
      <c r="L36" s="2">
        <v>3.5330939999999998E-2</v>
      </c>
      <c r="M36" s="2">
        <v>25.866705899999999</v>
      </c>
      <c r="N36" s="2">
        <v>66.031480099999996</v>
      </c>
      <c r="O36" s="2">
        <v>1</v>
      </c>
      <c r="P36" s="2">
        <v>181</v>
      </c>
      <c r="Q36" s="3">
        <v>6.7399999999999996E-14</v>
      </c>
    </row>
    <row r="37" spans="1:17" x14ac:dyDescent="0.2">
      <c r="A37">
        <v>36</v>
      </c>
      <c r="B37" s="2" t="s">
        <v>78</v>
      </c>
      <c r="C37" s="2" t="s">
        <v>80</v>
      </c>
      <c r="D37" s="2" t="s">
        <v>31</v>
      </c>
      <c r="E37" s="6">
        <v>19601</v>
      </c>
      <c r="F37" s="6">
        <v>19548</v>
      </c>
      <c r="G37" s="2">
        <v>0.26202355999999999</v>
      </c>
      <c r="H37" s="2">
        <v>-0.12971160000000001</v>
      </c>
      <c r="I37" s="2">
        <v>1.6225340000000001E-2</v>
      </c>
      <c r="J37" s="2">
        <v>-7.9943871</v>
      </c>
      <c r="K37" s="2">
        <v>0.87819395</v>
      </c>
      <c r="L37" s="2">
        <v>3.1444430000000002E-2</v>
      </c>
      <c r="M37" s="2">
        <v>27.9284441</v>
      </c>
      <c r="N37" s="2">
        <v>63.910225400000002</v>
      </c>
      <c r="O37" s="2">
        <v>1</v>
      </c>
      <c r="P37" s="2">
        <v>180</v>
      </c>
      <c r="Q37" s="3">
        <v>1.5200000000000001E-13</v>
      </c>
    </row>
    <row r="38" spans="1:17" x14ac:dyDescent="0.2">
      <c r="A38">
        <v>37</v>
      </c>
      <c r="B38" s="2" t="s">
        <v>78</v>
      </c>
      <c r="C38" s="2" t="s">
        <v>80</v>
      </c>
      <c r="D38" s="2" t="s">
        <v>35</v>
      </c>
      <c r="E38" s="6">
        <v>24447</v>
      </c>
      <c r="F38" s="6">
        <v>24381</v>
      </c>
      <c r="G38" s="2">
        <v>0.28047225999999997</v>
      </c>
      <c r="H38" s="2">
        <v>-0.14535029999999999</v>
      </c>
      <c r="I38" s="2">
        <v>1.7352360000000001E-2</v>
      </c>
      <c r="J38" s="2">
        <v>-8.3764005000000008</v>
      </c>
      <c r="K38" s="2">
        <v>0.90671734000000004</v>
      </c>
      <c r="L38" s="2">
        <v>3.3378659999999997E-2</v>
      </c>
      <c r="M38" s="2">
        <v>27.164577999999999</v>
      </c>
      <c r="N38" s="2">
        <v>70.164085700000001</v>
      </c>
      <c r="O38" s="2">
        <v>1</v>
      </c>
      <c r="P38" s="2">
        <v>180</v>
      </c>
      <c r="Q38" s="3">
        <v>1.51E-14</v>
      </c>
    </row>
    <row r="39" spans="1:17" x14ac:dyDescent="0.2">
      <c r="A39">
        <v>38</v>
      </c>
      <c r="B39" s="2" t="s">
        <v>78</v>
      </c>
      <c r="C39" s="2" t="s">
        <v>80</v>
      </c>
      <c r="D39" s="2" t="s">
        <v>38</v>
      </c>
      <c r="E39" s="6">
        <v>115658</v>
      </c>
      <c r="F39" s="6">
        <v>115069</v>
      </c>
      <c r="G39" s="2">
        <v>0.30842163</v>
      </c>
      <c r="H39" s="2">
        <v>-0.15658279999999999</v>
      </c>
      <c r="I39" s="2">
        <v>1.7192369999999998E-2</v>
      </c>
      <c r="J39" s="2">
        <v>-9.1076888</v>
      </c>
      <c r="K39" s="2">
        <v>0.93270133</v>
      </c>
      <c r="L39" s="2">
        <v>3.311534E-2</v>
      </c>
      <c r="M39" s="2">
        <v>28.165236199999999</v>
      </c>
      <c r="N39" s="2">
        <v>82.949994700000005</v>
      </c>
      <c r="O39" s="2">
        <v>1</v>
      </c>
      <c r="P39" s="2">
        <v>186</v>
      </c>
      <c r="Q39" s="3">
        <v>1.3299999999999999E-16</v>
      </c>
    </row>
    <row r="40" spans="1:17" x14ac:dyDescent="0.2">
      <c r="A40">
        <v>39</v>
      </c>
      <c r="B40" s="2" t="s">
        <v>78</v>
      </c>
      <c r="C40" s="2" t="s">
        <v>80</v>
      </c>
      <c r="D40" s="2" t="s">
        <v>43</v>
      </c>
      <c r="E40" s="6">
        <v>22650</v>
      </c>
      <c r="F40" s="6">
        <v>22609</v>
      </c>
      <c r="G40" s="2">
        <v>0.23201432999999999</v>
      </c>
      <c r="H40" s="2">
        <v>-0.1252228</v>
      </c>
      <c r="I40" s="2">
        <v>1.702849E-2</v>
      </c>
      <c r="J40" s="2">
        <v>-7.3537246999999999</v>
      </c>
      <c r="K40" s="2">
        <v>0.86493757999999998</v>
      </c>
      <c r="L40" s="2">
        <v>3.275115E-2</v>
      </c>
      <c r="M40" s="2">
        <v>26.409380599999999</v>
      </c>
      <c r="N40" s="2">
        <v>54.077266600000002</v>
      </c>
      <c r="O40" s="2">
        <v>1</v>
      </c>
      <c r="P40" s="2">
        <v>179</v>
      </c>
      <c r="Q40" s="3">
        <v>6.6600000000000003E-12</v>
      </c>
    </row>
    <row r="41" spans="1:17" x14ac:dyDescent="0.2">
      <c r="A41">
        <v>40</v>
      </c>
      <c r="B41" s="2" t="s">
        <v>78</v>
      </c>
      <c r="C41" s="2" t="s">
        <v>80</v>
      </c>
      <c r="D41" s="2" t="s">
        <v>71</v>
      </c>
      <c r="E41" s="6">
        <v>44180</v>
      </c>
      <c r="F41" s="6">
        <v>43964</v>
      </c>
      <c r="G41" s="2">
        <v>0.34237229000000002</v>
      </c>
      <c r="H41" s="2">
        <v>-0.16924159999999999</v>
      </c>
      <c r="I41" s="2">
        <v>1.773083E-2</v>
      </c>
      <c r="J41" s="2">
        <v>-9.5450516000000007</v>
      </c>
      <c r="K41" s="2">
        <v>0.95525744000000001</v>
      </c>
      <c r="L41" s="2">
        <v>3.3815350000000001E-2</v>
      </c>
      <c r="M41" s="2">
        <v>28.249228299999999</v>
      </c>
      <c r="N41" s="2">
        <v>91.108009300000006</v>
      </c>
      <c r="O41" s="2">
        <v>1</v>
      </c>
      <c r="P41" s="2">
        <v>175</v>
      </c>
      <c r="Q41" s="3">
        <v>1.21E-17</v>
      </c>
    </row>
    <row r="42" spans="1:17" x14ac:dyDescent="0.2">
      <c r="A42">
        <v>41</v>
      </c>
      <c r="B42" s="2" t="s">
        <v>78</v>
      </c>
      <c r="C42" s="2" t="s">
        <v>81</v>
      </c>
      <c r="D42" s="2" t="s">
        <v>14</v>
      </c>
      <c r="E42" s="6">
        <v>32209</v>
      </c>
      <c r="F42" s="6">
        <v>32059</v>
      </c>
      <c r="G42" s="2">
        <v>0.38701744999999999</v>
      </c>
      <c r="H42" s="2">
        <v>-0.173626</v>
      </c>
      <c r="I42" s="2">
        <v>1.64709E-2</v>
      </c>
      <c r="J42" s="2">
        <v>-10.541382</v>
      </c>
      <c r="K42" s="2">
        <v>0.96690843999999998</v>
      </c>
      <c r="L42" s="2">
        <v>3.1653340000000002E-2</v>
      </c>
      <c r="M42" s="2">
        <v>30.546807999999999</v>
      </c>
      <c r="N42" s="2">
        <v>111.120734</v>
      </c>
      <c r="O42" s="2">
        <v>1</v>
      </c>
      <c r="P42" s="2">
        <v>176</v>
      </c>
      <c r="Q42" s="3">
        <v>1.8899999999999998E-20</v>
      </c>
    </row>
    <row r="43" spans="1:17" x14ac:dyDescent="0.2">
      <c r="A43">
        <v>42</v>
      </c>
      <c r="B43" s="2" t="s">
        <v>78</v>
      </c>
      <c r="C43" s="2" t="s">
        <v>81</v>
      </c>
      <c r="D43" s="2" t="s">
        <v>22</v>
      </c>
      <c r="E43" s="6">
        <v>16946</v>
      </c>
      <c r="F43" s="6">
        <v>16869</v>
      </c>
      <c r="G43" s="2">
        <v>0.37574433000000002</v>
      </c>
      <c r="H43" s="2">
        <v>-0.16393199999999999</v>
      </c>
      <c r="I43" s="2">
        <v>1.5882250000000001E-2</v>
      </c>
      <c r="J43" s="2">
        <v>-10.321709</v>
      </c>
      <c r="K43" s="2">
        <v>0.94942870000000001</v>
      </c>
      <c r="L43" s="2">
        <v>3.0634709999999999E-2</v>
      </c>
      <c r="M43" s="2">
        <v>30.9919315</v>
      </c>
      <c r="N43" s="2">
        <v>106.53767499999999</v>
      </c>
      <c r="O43" s="2">
        <v>1</v>
      </c>
      <c r="P43" s="2">
        <v>177</v>
      </c>
      <c r="Q43" s="3">
        <v>7.5100000000000001E-20</v>
      </c>
    </row>
    <row r="44" spans="1:17" x14ac:dyDescent="0.2">
      <c r="A44">
        <v>43</v>
      </c>
      <c r="B44" s="2" t="s">
        <v>78</v>
      </c>
      <c r="C44" s="2" t="s">
        <v>81</v>
      </c>
      <c r="D44" s="2" t="s">
        <v>24</v>
      </c>
      <c r="E44" s="6">
        <v>10687</v>
      </c>
      <c r="F44" s="6">
        <v>10642</v>
      </c>
      <c r="G44" s="2">
        <v>0.42003699</v>
      </c>
      <c r="H44" s="2">
        <v>-0.18508939999999999</v>
      </c>
      <c r="I44" s="2">
        <v>1.648782E-2</v>
      </c>
      <c r="J44" s="2">
        <v>-11.225823999999999</v>
      </c>
      <c r="K44" s="2">
        <v>0.98866235999999996</v>
      </c>
      <c r="L44" s="2">
        <v>3.1655879999999997E-2</v>
      </c>
      <c r="M44" s="2">
        <v>31.231551799999998</v>
      </c>
      <c r="N44" s="2">
        <v>126.019132</v>
      </c>
      <c r="O44" s="2">
        <v>1</v>
      </c>
      <c r="P44" s="2">
        <v>174</v>
      </c>
      <c r="Q44" s="3">
        <v>2.4100000000000002E-22</v>
      </c>
    </row>
    <row r="45" spans="1:17" x14ac:dyDescent="0.2">
      <c r="A45">
        <v>44</v>
      </c>
      <c r="B45" s="2" t="s">
        <v>78</v>
      </c>
      <c r="C45" s="2" t="s">
        <v>81</v>
      </c>
      <c r="D45" s="2" t="s">
        <v>25</v>
      </c>
      <c r="E45" s="6">
        <v>8249</v>
      </c>
      <c r="F45" s="6">
        <v>8207</v>
      </c>
      <c r="G45" s="2">
        <v>0.38298439000000001</v>
      </c>
      <c r="H45" s="2">
        <v>-0.17290330000000001</v>
      </c>
      <c r="I45" s="2">
        <v>1.6685450000000001E-2</v>
      </c>
      <c r="J45" s="2">
        <v>-10.362522999999999</v>
      </c>
      <c r="K45" s="2">
        <v>0.96763023999999997</v>
      </c>
      <c r="L45" s="2">
        <v>3.2097130000000001E-2</v>
      </c>
      <c r="M45" s="2">
        <v>30.146943100000001</v>
      </c>
      <c r="N45" s="2">
        <v>107.381885</v>
      </c>
      <c r="O45" s="2">
        <v>1</v>
      </c>
      <c r="P45" s="2">
        <v>173</v>
      </c>
      <c r="Q45" s="3">
        <v>7.0400000000000002E-20</v>
      </c>
    </row>
    <row r="46" spans="1:17" x14ac:dyDescent="0.2">
      <c r="A46">
        <v>45</v>
      </c>
      <c r="B46" s="2" t="s">
        <v>78</v>
      </c>
      <c r="C46" s="2" t="s">
        <v>81</v>
      </c>
      <c r="D46" s="2" t="s">
        <v>28</v>
      </c>
      <c r="E46" s="6">
        <v>4774</v>
      </c>
      <c r="F46" s="6">
        <v>4740</v>
      </c>
      <c r="G46" s="2">
        <v>0.32969844999999998</v>
      </c>
      <c r="H46" s="2">
        <v>-8.4962899999999994E-2</v>
      </c>
      <c r="I46" s="2">
        <v>9.54757E-3</v>
      </c>
      <c r="J46" s="2">
        <v>-8.8988990999999995</v>
      </c>
      <c r="K46" s="2">
        <v>0.79796526000000001</v>
      </c>
      <c r="L46" s="2">
        <v>1.824371E-2</v>
      </c>
      <c r="M46" s="2">
        <v>43.739208499999997</v>
      </c>
      <c r="N46" s="2">
        <v>79.190404900000004</v>
      </c>
      <c r="O46" s="2">
        <v>1</v>
      </c>
      <c r="P46" s="2">
        <v>161</v>
      </c>
      <c r="Q46" s="3">
        <v>1.1200000000000001E-15</v>
      </c>
    </row>
    <row r="47" spans="1:17" x14ac:dyDescent="0.2">
      <c r="A47">
        <v>46</v>
      </c>
      <c r="B47" s="2" t="s">
        <v>78</v>
      </c>
      <c r="C47" s="2" t="s">
        <v>81</v>
      </c>
      <c r="D47" s="2" t="s">
        <v>44</v>
      </c>
      <c r="E47" s="6">
        <v>47289</v>
      </c>
      <c r="F47" s="6">
        <v>47153</v>
      </c>
      <c r="G47" s="2">
        <v>0.39821243000000001</v>
      </c>
      <c r="H47" s="2">
        <v>-0.1779646</v>
      </c>
      <c r="I47" s="2">
        <v>1.6352019999999998E-2</v>
      </c>
      <c r="J47" s="2">
        <v>-10.883343</v>
      </c>
      <c r="K47" s="2">
        <v>0.97622370999999997</v>
      </c>
      <c r="L47" s="2">
        <v>3.1613540000000002E-2</v>
      </c>
      <c r="M47" s="2">
        <v>30.8799192</v>
      </c>
      <c r="N47" s="2">
        <v>118.44715600000001</v>
      </c>
      <c r="O47" s="2">
        <v>1</v>
      </c>
      <c r="P47" s="2">
        <v>179</v>
      </c>
      <c r="Q47" s="3">
        <v>1.7E-21</v>
      </c>
    </row>
    <row r="48" spans="1:17" x14ac:dyDescent="0.2">
      <c r="A48">
        <v>47</v>
      </c>
      <c r="B48" s="2" t="s">
        <v>78</v>
      </c>
      <c r="C48" s="2" t="s">
        <v>81</v>
      </c>
      <c r="D48" s="2" t="s">
        <v>51</v>
      </c>
      <c r="E48" s="6">
        <v>51642</v>
      </c>
      <c r="F48" s="6">
        <v>51517</v>
      </c>
      <c r="G48" s="2">
        <v>0.30002970000000001</v>
      </c>
      <c r="H48" s="2">
        <v>-0.14736350000000001</v>
      </c>
      <c r="I48" s="2">
        <v>1.6776889999999999E-2</v>
      </c>
      <c r="J48" s="2">
        <v>-8.7837216999999992</v>
      </c>
      <c r="K48" s="2">
        <v>0.91596666999999998</v>
      </c>
      <c r="L48" s="2">
        <v>3.2362040000000002E-2</v>
      </c>
      <c r="M48" s="2">
        <v>28.303734200000001</v>
      </c>
      <c r="N48" s="2">
        <v>77.153767500000001</v>
      </c>
      <c r="O48" s="2">
        <v>1</v>
      </c>
      <c r="P48" s="2">
        <v>180</v>
      </c>
      <c r="Q48" s="3">
        <v>1.2199999999999999E-15</v>
      </c>
    </row>
    <row r="49" spans="1:17" x14ac:dyDescent="0.2">
      <c r="A49">
        <v>48</v>
      </c>
      <c r="B49" s="2" t="s">
        <v>78</v>
      </c>
      <c r="C49" s="2" t="s">
        <v>81</v>
      </c>
      <c r="D49" s="2" t="s">
        <v>57</v>
      </c>
      <c r="E49" s="6">
        <v>19897</v>
      </c>
      <c r="F49" s="6">
        <v>19738</v>
      </c>
      <c r="G49" s="2">
        <v>0.40796550999999998</v>
      </c>
      <c r="H49" s="2">
        <v>-0.17419670000000001</v>
      </c>
      <c r="I49" s="2">
        <v>1.590842E-2</v>
      </c>
      <c r="J49" s="2">
        <v>-10.949968</v>
      </c>
      <c r="K49" s="2">
        <v>0.96780562999999997</v>
      </c>
      <c r="L49" s="2">
        <v>3.052825E-2</v>
      </c>
      <c r="M49" s="2">
        <v>31.701974</v>
      </c>
      <c r="N49" s="2">
        <v>119.901796</v>
      </c>
      <c r="O49" s="2">
        <v>1</v>
      </c>
      <c r="P49" s="2">
        <v>174</v>
      </c>
      <c r="Q49" s="3">
        <v>1.4699999999999999E-21</v>
      </c>
    </row>
    <row r="50" spans="1:17" x14ac:dyDescent="0.2">
      <c r="A50">
        <v>49</v>
      </c>
      <c r="B50" s="2" t="s">
        <v>78</v>
      </c>
      <c r="C50" s="2" t="s">
        <v>81</v>
      </c>
      <c r="D50" s="2" t="s">
        <v>60</v>
      </c>
      <c r="E50" s="6">
        <v>37760</v>
      </c>
      <c r="F50" s="6">
        <v>37587</v>
      </c>
      <c r="G50" s="2">
        <v>0.38629753999999999</v>
      </c>
      <c r="H50" s="2">
        <v>-0.1764937</v>
      </c>
      <c r="I50" s="2">
        <v>1.6720929999999998E-2</v>
      </c>
      <c r="J50" s="2">
        <v>-10.555254</v>
      </c>
      <c r="K50" s="2">
        <v>0.97289946000000005</v>
      </c>
      <c r="L50" s="2">
        <v>3.2155919999999998E-2</v>
      </c>
      <c r="M50" s="2">
        <v>30.255684899999999</v>
      </c>
      <c r="N50" s="2">
        <v>111.413381</v>
      </c>
      <c r="O50" s="2">
        <v>1</v>
      </c>
      <c r="P50" s="2">
        <v>177</v>
      </c>
      <c r="Q50" s="3">
        <v>1.64E-20</v>
      </c>
    </row>
    <row r="51" spans="1:17" x14ac:dyDescent="0.2">
      <c r="A51">
        <v>50</v>
      </c>
      <c r="B51" s="2" t="s">
        <v>78</v>
      </c>
      <c r="C51" s="2" t="s">
        <v>81</v>
      </c>
      <c r="D51" s="2" t="s">
        <v>70</v>
      </c>
      <c r="E51" s="6">
        <v>22173</v>
      </c>
      <c r="F51" s="6">
        <v>22082</v>
      </c>
      <c r="G51" s="2">
        <v>0.40038256</v>
      </c>
      <c r="H51" s="2">
        <v>-0.1733259</v>
      </c>
      <c r="I51" s="2">
        <v>1.5988459999999999E-2</v>
      </c>
      <c r="J51" s="2">
        <v>-10.840686</v>
      </c>
      <c r="K51" s="2">
        <v>0.96721281999999997</v>
      </c>
      <c r="L51" s="2">
        <v>3.0916920000000001E-2</v>
      </c>
      <c r="M51" s="2">
        <v>31.284259899999999</v>
      </c>
      <c r="N51" s="2">
        <v>117.52048000000001</v>
      </c>
      <c r="O51" s="2">
        <v>1</v>
      </c>
      <c r="P51" s="2">
        <v>176</v>
      </c>
      <c r="Q51" s="3">
        <v>2.6700000000000001E-21</v>
      </c>
    </row>
    <row r="52" spans="1:17" x14ac:dyDescent="0.2">
      <c r="A52">
        <v>51</v>
      </c>
      <c r="B52" s="2" t="s">
        <v>78</v>
      </c>
      <c r="C52" s="2" t="s">
        <v>82</v>
      </c>
      <c r="D52" s="2" t="s">
        <v>18</v>
      </c>
      <c r="E52" s="6">
        <v>11868</v>
      </c>
      <c r="F52" s="6">
        <v>11819</v>
      </c>
      <c r="G52" s="2">
        <v>0.33261338000000001</v>
      </c>
      <c r="H52" s="2">
        <v>-0.11090220000000001</v>
      </c>
      <c r="I52" s="2">
        <v>1.1774669999999999E-2</v>
      </c>
      <c r="J52" s="2">
        <v>-9.4187031000000001</v>
      </c>
      <c r="K52" s="2">
        <v>0.84164379</v>
      </c>
      <c r="L52" s="2">
        <v>2.2931400000000001E-2</v>
      </c>
      <c r="M52" s="2">
        <v>36.702680999999998</v>
      </c>
      <c r="N52" s="2">
        <v>88.711968499999998</v>
      </c>
      <c r="O52" s="2">
        <v>1</v>
      </c>
      <c r="P52" s="2">
        <v>178</v>
      </c>
      <c r="Q52" s="3">
        <v>2.3999999999999999E-17</v>
      </c>
    </row>
    <row r="53" spans="1:17" x14ac:dyDescent="0.2">
      <c r="A53">
        <v>52</v>
      </c>
      <c r="B53" s="2" t="s">
        <v>78</v>
      </c>
      <c r="C53" s="2" t="s">
        <v>82</v>
      </c>
      <c r="D53" s="2" t="s">
        <v>19</v>
      </c>
      <c r="E53" s="6">
        <v>15466</v>
      </c>
      <c r="F53" s="6">
        <v>15415</v>
      </c>
      <c r="G53" s="2">
        <v>0.35145921000000002</v>
      </c>
      <c r="H53" s="2">
        <v>-0.1108643</v>
      </c>
      <c r="I53" s="2">
        <v>1.125632E-2</v>
      </c>
      <c r="J53" s="2">
        <v>-9.8490724000000007</v>
      </c>
      <c r="K53" s="2">
        <v>0.84343683000000003</v>
      </c>
      <c r="L53" s="2">
        <v>2.1868849999999999E-2</v>
      </c>
      <c r="M53" s="2">
        <v>38.567948299999998</v>
      </c>
      <c r="N53" s="2">
        <v>97.004227900000004</v>
      </c>
      <c r="O53" s="2">
        <v>1</v>
      </c>
      <c r="P53" s="2">
        <v>179</v>
      </c>
      <c r="Q53" s="3">
        <v>1.4700000000000001E-18</v>
      </c>
    </row>
    <row r="54" spans="1:17" x14ac:dyDescent="0.2">
      <c r="A54">
        <v>53</v>
      </c>
      <c r="B54" s="2" t="s">
        <v>78</v>
      </c>
      <c r="C54" s="2" t="s">
        <v>82</v>
      </c>
      <c r="D54" s="2" t="s">
        <v>32</v>
      </c>
      <c r="E54" s="6">
        <v>11120</v>
      </c>
      <c r="F54" s="6">
        <v>11085</v>
      </c>
      <c r="G54" s="2">
        <v>0.36764770000000002</v>
      </c>
      <c r="H54" s="2">
        <v>-0.124794</v>
      </c>
      <c r="I54" s="2">
        <v>1.230186E-2</v>
      </c>
      <c r="J54" s="2">
        <v>-10.144322000000001</v>
      </c>
      <c r="K54" s="2">
        <v>0.87052077999999999</v>
      </c>
      <c r="L54" s="2">
        <v>2.401965E-2</v>
      </c>
      <c r="M54" s="2">
        <v>36.242019399999997</v>
      </c>
      <c r="N54" s="2">
        <v>102.907262</v>
      </c>
      <c r="O54" s="2">
        <v>1</v>
      </c>
      <c r="P54" s="2">
        <v>177</v>
      </c>
      <c r="Q54" s="3">
        <v>2.3700000000000002E-19</v>
      </c>
    </row>
    <row r="55" spans="1:17" x14ac:dyDescent="0.2">
      <c r="A55">
        <v>54</v>
      </c>
      <c r="B55" s="2" t="s">
        <v>78</v>
      </c>
      <c r="C55" s="2" t="s">
        <v>82</v>
      </c>
      <c r="D55" s="2" t="s">
        <v>36</v>
      </c>
      <c r="E55" s="6">
        <v>4240</v>
      </c>
      <c r="F55" s="6">
        <v>4207</v>
      </c>
      <c r="G55" s="2">
        <v>0.21458383</v>
      </c>
      <c r="H55" s="2">
        <v>-0.1217753</v>
      </c>
      <c r="I55" s="2">
        <v>2.0277940000000001E-2</v>
      </c>
      <c r="J55" s="2">
        <v>-6.0053115000000004</v>
      </c>
      <c r="K55" s="2">
        <v>0.85803996000000005</v>
      </c>
      <c r="L55" s="2">
        <v>3.8376649999999998E-2</v>
      </c>
      <c r="M55" s="2">
        <v>22.358388099999999</v>
      </c>
      <c r="N55" s="2">
        <v>36.063765799999999</v>
      </c>
      <c r="O55" s="2">
        <v>1</v>
      </c>
      <c r="P55" s="2">
        <v>132</v>
      </c>
      <c r="Q55" s="3">
        <v>1.74E-8</v>
      </c>
    </row>
    <row r="56" spans="1:17" x14ac:dyDescent="0.2">
      <c r="A56">
        <v>55</v>
      </c>
      <c r="B56" s="2" t="s">
        <v>78</v>
      </c>
      <c r="C56" s="2" t="s">
        <v>82</v>
      </c>
      <c r="D56" s="2" t="s">
        <v>47</v>
      </c>
      <c r="E56" s="6">
        <v>10583</v>
      </c>
      <c r="F56" s="6">
        <v>10553</v>
      </c>
      <c r="G56" s="2">
        <v>0.35712132000000002</v>
      </c>
      <c r="H56" s="2">
        <v>-0.1654929</v>
      </c>
      <c r="I56" s="2">
        <v>1.659623E-2</v>
      </c>
      <c r="J56" s="2">
        <v>-9.9717158999999995</v>
      </c>
      <c r="K56" s="2">
        <v>0.94458586</v>
      </c>
      <c r="L56" s="2">
        <v>3.2319809999999997E-2</v>
      </c>
      <c r="M56" s="2">
        <v>29.2262214</v>
      </c>
      <c r="N56" s="2">
        <v>99.435118200000005</v>
      </c>
      <c r="O56" s="2">
        <v>1</v>
      </c>
      <c r="P56" s="2">
        <v>179</v>
      </c>
      <c r="Q56" s="3">
        <v>6.6299999999999996E-19</v>
      </c>
    </row>
    <row r="57" spans="1:17" x14ac:dyDescent="0.2">
      <c r="A57">
        <v>56</v>
      </c>
      <c r="B57" s="2" t="s">
        <v>78</v>
      </c>
      <c r="C57" s="2" t="s">
        <v>82</v>
      </c>
      <c r="D57" s="2" t="s">
        <v>48</v>
      </c>
      <c r="E57" s="6">
        <v>13179</v>
      </c>
      <c r="F57" s="6">
        <v>13144</v>
      </c>
      <c r="G57" s="2">
        <v>0.41706201999999998</v>
      </c>
      <c r="H57" s="2">
        <v>-0.14150499999999999</v>
      </c>
      <c r="I57" s="2" t="s">
        <v>83</v>
      </c>
      <c r="J57" s="2">
        <v>-11.221360000000001</v>
      </c>
      <c r="K57" s="2">
        <v>0.90248382999999999</v>
      </c>
      <c r="L57" s="2">
        <v>2.453263E-2</v>
      </c>
      <c r="M57" s="2">
        <v>36.787086799999997</v>
      </c>
      <c r="N57" s="2">
        <v>125.91891099999999</v>
      </c>
      <c r="O57" s="2">
        <v>1</v>
      </c>
      <c r="P57" s="2">
        <v>176</v>
      </c>
      <c r="Q57" s="3">
        <v>2.1899999999999999E-22</v>
      </c>
    </row>
    <row r="58" spans="1:17" x14ac:dyDescent="0.2">
      <c r="A58">
        <v>57</v>
      </c>
      <c r="B58" s="2" t="s">
        <v>78</v>
      </c>
      <c r="C58" s="2" t="s">
        <v>82</v>
      </c>
      <c r="D58" s="2" t="s">
        <v>53</v>
      </c>
      <c r="E58" s="6">
        <v>28398</v>
      </c>
      <c r="F58" s="6">
        <v>28169</v>
      </c>
      <c r="G58" s="2">
        <v>0.39452854999999998</v>
      </c>
      <c r="H58" s="2">
        <v>-0.19507269999999999</v>
      </c>
      <c r="I58" s="2">
        <v>1.887045E-2</v>
      </c>
      <c r="J58" s="2">
        <v>-10.337471000000001</v>
      </c>
      <c r="K58" s="2">
        <v>1.0040556599999999</v>
      </c>
      <c r="L58" s="2">
        <v>3.5840080000000003E-2</v>
      </c>
      <c r="M58" s="2">
        <v>28.014885799999998</v>
      </c>
      <c r="N58" s="2">
        <v>106.863308</v>
      </c>
      <c r="O58" s="2">
        <v>1</v>
      </c>
      <c r="P58" s="2">
        <v>164</v>
      </c>
      <c r="Q58" s="3">
        <v>1.3300000000000001E-19</v>
      </c>
    </row>
    <row r="59" spans="1:17" x14ac:dyDescent="0.2">
      <c r="A59">
        <v>58</v>
      </c>
      <c r="B59" s="2" t="s">
        <v>78</v>
      </c>
      <c r="C59" s="2" t="s">
        <v>82</v>
      </c>
      <c r="D59" s="2" t="s">
        <v>55</v>
      </c>
      <c r="E59" s="6">
        <v>8206</v>
      </c>
      <c r="F59" s="6">
        <v>8166</v>
      </c>
      <c r="G59" s="2">
        <v>0.45499537000000001</v>
      </c>
      <c r="H59" s="2">
        <v>-0.2019946</v>
      </c>
      <c r="I59" s="2">
        <v>1.695555E-2</v>
      </c>
      <c r="J59" s="2">
        <v>-11.913183999999999</v>
      </c>
      <c r="K59" s="2">
        <v>1.02412806</v>
      </c>
      <c r="L59" s="2">
        <v>3.2377740000000002E-2</v>
      </c>
      <c r="M59" s="2">
        <v>31.630619599999999</v>
      </c>
      <c r="N59" s="2">
        <v>141.923958</v>
      </c>
      <c r="O59" s="2">
        <v>1</v>
      </c>
      <c r="P59" s="2">
        <v>170</v>
      </c>
      <c r="Q59" s="3">
        <v>3.5299999999999999E-24</v>
      </c>
    </row>
    <row r="60" spans="1:17" x14ac:dyDescent="0.2">
      <c r="A60">
        <v>59</v>
      </c>
      <c r="B60" s="2" t="s">
        <v>78</v>
      </c>
      <c r="C60" s="2" t="s">
        <v>82</v>
      </c>
      <c r="D60" s="2" t="s">
        <v>68</v>
      </c>
      <c r="E60" s="6">
        <v>20293</v>
      </c>
      <c r="F60" s="6">
        <v>20219</v>
      </c>
      <c r="G60" s="2">
        <v>0.30352604</v>
      </c>
      <c r="H60" s="2">
        <v>-0.13595750000000001</v>
      </c>
      <c r="I60" s="2">
        <v>1.5936740000000001E-2</v>
      </c>
      <c r="J60" s="2">
        <v>-8.5310751000000007</v>
      </c>
      <c r="K60" s="2">
        <v>0.88801200000000002</v>
      </c>
      <c r="L60" s="2">
        <v>3.0776080000000001E-2</v>
      </c>
      <c r="M60" s="2">
        <v>28.853966700000001</v>
      </c>
      <c r="N60" s="2">
        <v>72.7792429</v>
      </c>
      <c r="O60" s="2">
        <v>1</v>
      </c>
      <c r="P60" s="2">
        <v>167</v>
      </c>
      <c r="Q60" s="3">
        <v>8.4300000000000001E-15</v>
      </c>
    </row>
    <row r="61" spans="1:17" x14ac:dyDescent="0.2">
      <c r="A61">
        <v>60</v>
      </c>
      <c r="B61" s="2" t="s">
        <v>78</v>
      </c>
      <c r="C61" s="2" t="s">
        <v>82</v>
      </c>
      <c r="D61" s="2" t="s">
        <v>69</v>
      </c>
      <c r="E61" s="6">
        <v>9040</v>
      </c>
      <c r="F61" s="6">
        <v>9000</v>
      </c>
      <c r="G61" s="2">
        <v>0.41464033</v>
      </c>
      <c r="H61" s="2">
        <v>-0.1640857</v>
      </c>
      <c r="I61" s="2">
        <v>1.486559E-2</v>
      </c>
      <c r="J61" s="2">
        <v>-11.037953999999999</v>
      </c>
      <c r="K61" s="2">
        <v>0.94958463999999998</v>
      </c>
      <c r="L61" s="2">
        <v>2.8606610000000001E-2</v>
      </c>
      <c r="M61" s="2">
        <v>33.1945829</v>
      </c>
      <c r="N61" s="2">
        <v>121.836437</v>
      </c>
      <c r="O61" s="2">
        <v>1</v>
      </c>
      <c r="P61" s="2">
        <v>172</v>
      </c>
      <c r="Q61" s="3">
        <v>9.3199999999999993E-22</v>
      </c>
    </row>
  </sheetData>
  <sortState xmlns:xlrd2="http://schemas.microsoft.com/office/spreadsheetml/2017/richdata2" ref="A2:Q61">
    <sortCondition ref="C2:C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30DF-EFD2-0E44-8132-3AE297E8AC47}">
  <dimension ref="A1:L31"/>
  <sheetViews>
    <sheetView workbookViewId="0">
      <selection activeCell="L11" sqref="L1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112</v>
      </c>
      <c r="B2">
        <v>0.37285490951531303</v>
      </c>
      <c r="C2">
        <v>-0.159541407059381</v>
      </c>
      <c r="D2">
        <v>1.42783443300546E-2</v>
      </c>
      <c r="E2">
        <v>-11.173662952192601</v>
      </c>
      <c r="F2">
        <v>0.94467833383093702</v>
      </c>
      <c r="G2">
        <v>2.8180416805355001E-2</v>
      </c>
      <c r="H2">
        <v>33.5225110528324</v>
      </c>
      <c r="I2">
        <v>124.850743769201</v>
      </c>
      <c r="J2">
        <v>1</v>
      </c>
      <c r="K2">
        <v>210</v>
      </c>
      <c r="L2" s="1">
        <v>4.7293963152097697E-23</v>
      </c>
    </row>
    <row r="6" spans="1:12" x14ac:dyDescent="0.2">
      <c r="A6" t="s">
        <v>113</v>
      </c>
    </row>
    <row r="10" spans="1:12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">
      <c r="A11" t="s">
        <v>121</v>
      </c>
      <c r="B11">
        <v>0.37285490951531303</v>
      </c>
      <c r="C11">
        <v>-0.159541407059381</v>
      </c>
      <c r="D11">
        <v>1.42783443300546E-2</v>
      </c>
      <c r="E11">
        <v>-11.173662952192601</v>
      </c>
      <c r="F11">
        <v>0.94467833383093702</v>
      </c>
      <c r="G11">
        <v>2.8180416805355001E-2</v>
      </c>
      <c r="H11">
        <v>33.5225110528324</v>
      </c>
      <c r="I11">
        <v>124.850743769201</v>
      </c>
      <c r="J11">
        <v>1</v>
      </c>
      <c r="K11">
        <v>210</v>
      </c>
      <c r="L11" s="1">
        <v>4.7293963152097697E-23</v>
      </c>
    </row>
    <row r="12" spans="1:12" x14ac:dyDescent="0.2">
      <c r="A12" t="s">
        <v>114</v>
      </c>
      <c r="B12">
        <v>0.239149275539527</v>
      </c>
      <c r="C12">
        <v>1.2386830612565999E-2</v>
      </c>
      <c r="D12">
        <v>4.9403804601239202E-3</v>
      </c>
      <c r="E12">
        <v>2.50726248971021</v>
      </c>
      <c r="F12">
        <v>0.29711403983221302</v>
      </c>
      <c r="G12">
        <v>5.13703503756741E-3</v>
      </c>
      <c r="H12">
        <v>57.837651030098399</v>
      </c>
      <c r="I12">
        <v>6.2863651923078496</v>
      </c>
      <c r="J12">
        <v>1</v>
      </c>
      <c r="K12">
        <v>20</v>
      </c>
      <c r="L12">
        <v>2.0906653240921599E-2</v>
      </c>
    </row>
    <row r="13" spans="1:12" x14ac:dyDescent="0.2">
      <c r="A13" t="s">
        <v>115</v>
      </c>
      <c r="B13">
        <v>0.25633441690599501</v>
      </c>
      <c r="C13">
        <v>0.100819680696676</v>
      </c>
      <c r="D13">
        <v>2.7151929849371099E-2</v>
      </c>
      <c r="E13">
        <v>3.71316813412477</v>
      </c>
      <c r="F13">
        <v>0.65156693391166698</v>
      </c>
      <c r="G13">
        <v>3.4210867955874698E-2</v>
      </c>
      <c r="H13">
        <v>19.045612486419799</v>
      </c>
      <c r="I13">
        <v>13.7876175922796</v>
      </c>
      <c r="J13">
        <v>1</v>
      </c>
      <c r="K13">
        <v>40</v>
      </c>
      <c r="L13">
        <v>6.2397481382675903E-4</v>
      </c>
    </row>
    <row r="14" spans="1:12" x14ac:dyDescent="0.2">
      <c r="A14" t="s">
        <v>116</v>
      </c>
      <c r="B14">
        <v>0.13330759196907799</v>
      </c>
      <c r="C14">
        <v>2.2223161110003501E-2</v>
      </c>
      <c r="D14">
        <v>1.41661193953855E-2</v>
      </c>
      <c r="E14">
        <v>1.5687543278254801</v>
      </c>
      <c r="F14">
        <v>0.626979488611903</v>
      </c>
      <c r="G14">
        <v>1.3741535004180599E-2</v>
      </c>
      <c r="H14">
        <v>45.6265976414685</v>
      </c>
      <c r="I14">
        <v>2.4609901410710702</v>
      </c>
      <c r="J14">
        <v>1</v>
      </c>
      <c r="K14">
        <v>16</v>
      </c>
      <c r="L14">
        <v>0.13626795618974699</v>
      </c>
    </row>
    <row r="15" spans="1:12" x14ac:dyDescent="0.2">
      <c r="A15" t="s">
        <v>117</v>
      </c>
      <c r="B15">
        <v>1.3315369718123399E-3</v>
      </c>
      <c r="C15">
        <v>4.8338364643719604E-3</v>
      </c>
      <c r="D15">
        <v>2.1763319828450301E-2</v>
      </c>
      <c r="E15">
        <v>0.22210933361613699</v>
      </c>
      <c r="F15">
        <v>1.08840576741902</v>
      </c>
      <c r="G15">
        <v>2.8416112906852298E-2</v>
      </c>
      <c r="H15">
        <v>38.302415639563499</v>
      </c>
      <c r="I15">
        <v>4.9332556079390397E-2</v>
      </c>
      <c r="J15">
        <v>1</v>
      </c>
      <c r="K15">
        <v>37</v>
      </c>
      <c r="L15">
        <v>0.82545021966013998</v>
      </c>
    </row>
    <row r="16" spans="1:12" x14ac:dyDescent="0.2">
      <c r="A16" t="s">
        <v>118</v>
      </c>
      <c r="B16">
        <v>6.8351864596387799E-2</v>
      </c>
      <c r="C16">
        <v>-2.5769573049920599E-2</v>
      </c>
      <c r="D16">
        <v>1.0570985817601601E-2</v>
      </c>
      <c r="E16">
        <v>-2.4377644142717498</v>
      </c>
      <c r="F16">
        <v>0.53611375489632496</v>
      </c>
      <c r="G16">
        <v>1.65712658103861E-2</v>
      </c>
      <c r="H16">
        <v>32.352009860364099</v>
      </c>
      <c r="I16">
        <v>5.9426953394898003</v>
      </c>
      <c r="J16">
        <v>1</v>
      </c>
      <c r="K16">
        <v>81</v>
      </c>
      <c r="L16">
        <v>1.6967575026828899E-2</v>
      </c>
    </row>
    <row r="17" spans="1:12" x14ac:dyDescent="0.2">
      <c r="A17" t="s">
        <v>119</v>
      </c>
      <c r="B17">
        <v>1.7426954977246702E-2</v>
      </c>
      <c r="C17">
        <v>-6.0194593357662304E-3</v>
      </c>
      <c r="D17">
        <v>6.1508094565928496E-3</v>
      </c>
      <c r="E17">
        <v>-0.97864506749012803</v>
      </c>
      <c r="F17">
        <v>0.41905957070676297</v>
      </c>
      <c r="G17">
        <v>8.6109848463468506E-3</v>
      </c>
      <c r="H17">
        <v>48.665695989994298</v>
      </c>
      <c r="I17">
        <v>0.95774616812282798</v>
      </c>
      <c r="J17">
        <v>1</v>
      </c>
      <c r="K17">
        <v>54</v>
      </c>
      <c r="L17">
        <v>0.33211957229711703</v>
      </c>
    </row>
    <row r="18" spans="1:12" x14ac:dyDescent="0.2">
      <c r="A18" t="s">
        <v>120</v>
      </c>
      <c r="B18">
        <v>0.131015436305118</v>
      </c>
      <c r="C18">
        <v>-1.9075984993050101E-2</v>
      </c>
      <c r="D18">
        <v>7.0910598450854402E-3</v>
      </c>
      <c r="E18">
        <v>-2.69014581879054</v>
      </c>
      <c r="F18">
        <v>0.516282114331164</v>
      </c>
      <c r="G18">
        <v>9.5858829540574602E-3</v>
      </c>
      <c r="H18">
        <v>53.858587341986599</v>
      </c>
      <c r="I18">
        <v>7.2368845263559498</v>
      </c>
      <c r="J18">
        <v>1</v>
      </c>
      <c r="K18">
        <v>48</v>
      </c>
      <c r="L18">
        <v>9.7960558659858296E-3</v>
      </c>
    </row>
    <row r="23" spans="1:12" x14ac:dyDescent="0.2">
      <c r="A23" t="s">
        <v>0</v>
      </c>
      <c r="B23" t="s">
        <v>1</v>
      </c>
      <c r="C23" t="s">
        <v>2</v>
      </c>
      <c r="D23" t="s">
        <v>5</v>
      </c>
      <c r="E23" t="s">
        <v>8</v>
      </c>
      <c r="F23" t="s">
        <v>11</v>
      </c>
    </row>
    <row r="24" spans="1:12" x14ac:dyDescent="0.2">
      <c r="A24" t="s">
        <v>121</v>
      </c>
      <c r="B24">
        <v>0.37285490951531303</v>
      </c>
      <c r="C24">
        <v>-0.159541407059381</v>
      </c>
      <c r="D24">
        <v>0.94467833383093702</v>
      </c>
      <c r="E24">
        <v>124.850743769201</v>
      </c>
      <c r="F24" s="1">
        <v>4.7293963152097697E-23</v>
      </c>
      <c r="L24" s="1"/>
    </row>
    <row r="25" spans="1:12" x14ac:dyDescent="0.2">
      <c r="A25" t="s">
        <v>114</v>
      </c>
      <c r="B25">
        <v>0.239149275539527</v>
      </c>
      <c r="C25">
        <v>1.2386830612565999E-2</v>
      </c>
      <c r="D25">
        <v>0.29711403983221302</v>
      </c>
      <c r="E25">
        <v>6.2863651923078496</v>
      </c>
      <c r="F25">
        <v>2.0906653240921599E-2</v>
      </c>
    </row>
    <row r="26" spans="1:12" x14ac:dyDescent="0.2">
      <c r="A26" t="s">
        <v>115</v>
      </c>
      <c r="B26">
        <v>0.25633441690599501</v>
      </c>
      <c r="C26">
        <v>0.100819680696676</v>
      </c>
      <c r="D26">
        <v>0.65156693391166698</v>
      </c>
      <c r="E26">
        <v>13.7876175922796</v>
      </c>
      <c r="F26">
        <v>6.2397481382675903E-4</v>
      </c>
    </row>
    <row r="27" spans="1:12" x14ac:dyDescent="0.2">
      <c r="A27" t="s">
        <v>116</v>
      </c>
      <c r="B27">
        <v>0.13330759196907799</v>
      </c>
      <c r="C27">
        <v>2.2223161110003501E-2</v>
      </c>
      <c r="D27">
        <v>0.626979488611903</v>
      </c>
      <c r="E27">
        <v>2.4609901410710702</v>
      </c>
      <c r="F27">
        <v>0.13626795618974699</v>
      </c>
    </row>
    <row r="28" spans="1:12" x14ac:dyDescent="0.2">
      <c r="A28" t="s">
        <v>117</v>
      </c>
      <c r="B28">
        <v>1.3315369718123399E-3</v>
      </c>
      <c r="C28">
        <v>4.8338364643719604E-3</v>
      </c>
      <c r="D28">
        <v>1.08840576741902</v>
      </c>
      <c r="E28">
        <v>4.9332556079390397E-2</v>
      </c>
      <c r="F28">
        <v>0.82545021966013998</v>
      </c>
    </row>
    <row r="29" spans="1:12" x14ac:dyDescent="0.2">
      <c r="A29" t="s">
        <v>118</v>
      </c>
      <c r="B29">
        <v>6.8351864596387799E-2</v>
      </c>
      <c r="C29">
        <v>-2.5769573049920599E-2</v>
      </c>
      <c r="D29">
        <v>0.53611375489632496</v>
      </c>
      <c r="E29">
        <v>5.9426953394898003</v>
      </c>
      <c r="F29">
        <v>1.6967575026828899E-2</v>
      </c>
    </row>
    <row r="30" spans="1:12" x14ac:dyDescent="0.2">
      <c r="A30" t="s">
        <v>119</v>
      </c>
      <c r="B30">
        <v>1.7426954977246702E-2</v>
      </c>
      <c r="C30">
        <v>-6.0194593357662304E-3</v>
      </c>
      <c r="D30">
        <v>0.41905957070676297</v>
      </c>
      <c r="E30">
        <v>0.95774616812282798</v>
      </c>
      <c r="F30">
        <v>0.33211957229711703</v>
      </c>
    </row>
    <row r="31" spans="1:12" x14ac:dyDescent="0.2">
      <c r="A31" t="s">
        <v>120</v>
      </c>
      <c r="B31">
        <v>0.131015436305118</v>
      </c>
      <c r="C31">
        <v>-1.9075984993050101E-2</v>
      </c>
      <c r="D31">
        <v>0.516282114331164</v>
      </c>
      <c r="E31">
        <v>7.2368845263559498</v>
      </c>
      <c r="F31">
        <v>9.7960558659858296E-3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3F33-E721-2949-85ED-619F9582D50F}">
  <dimension ref="A1:G17"/>
  <sheetViews>
    <sheetView workbookViewId="0">
      <selection activeCell="E33" sqref="E33"/>
    </sheetView>
  </sheetViews>
  <sheetFormatPr baseColWidth="10" defaultRowHeight="16" x14ac:dyDescent="0.2"/>
  <sheetData>
    <row r="1" spans="1:7" x14ac:dyDescent="0.2">
      <c r="A1" t="s">
        <v>85</v>
      </c>
    </row>
    <row r="3" spans="1:7" x14ac:dyDescent="0.2">
      <c r="A3" s="5" t="s">
        <v>86</v>
      </c>
    </row>
    <row r="4" spans="1:7" x14ac:dyDescent="0.2">
      <c r="B4" t="s">
        <v>89</v>
      </c>
      <c r="C4" t="s">
        <v>90</v>
      </c>
      <c r="D4" t="s">
        <v>91</v>
      </c>
      <c r="E4" t="s">
        <v>92</v>
      </c>
      <c r="F4" t="s">
        <v>93</v>
      </c>
    </row>
    <row r="5" spans="1:7" x14ac:dyDescent="0.2">
      <c r="A5" t="s">
        <v>73</v>
      </c>
      <c r="B5">
        <v>5</v>
      </c>
      <c r="C5">
        <v>0.30009999999999998</v>
      </c>
      <c r="D5">
        <v>6.0019999999999997E-2</v>
      </c>
      <c r="E5">
        <v>25.29</v>
      </c>
      <c r="F5" s="1">
        <v>4.8499999999999995E-13</v>
      </c>
      <c r="G5" t="s">
        <v>95</v>
      </c>
    </row>
    <row r="6" spans="1:7" x14ac:dyDescent="0.2">
      <c r="A6" t="s">
        <v>88</v>
      </c>
      <c r="B6">
        <v>54</v>
      </c>
      <c r="C6">
        <v>0.12820000000000001</v>
      </c>
      <c r="D6">
        <v>2.3700000000000001E-3</v>
      </c>
    </row>
    <row r="8" spans="1:7" x14ac:dyDescent="0.2">
      <c r="A8" t="s">
        <v>87</v>
      </c>
    </row>
    <row r="10" spans="1:7" ht="18" x14ac:dyDescent="0.2">
      <c r="A10" s="4"/>
    </row>
    <row r="11" spans="1:7" x14ac:dyDescent="0.2">
      <c r="A11" s="5" t="s">
        <v>94</v>
      </c>
    </row>
    <row r="12" spans="1:7" x14ac:dyDescent="0.2">
      <c r="B12" t="s">
        <v>89</v>
      </c>
      <c r="C12" t="s">
        <v>90</v>
      </c>
      <c r="D12" t="s">
        <v>91</v>
      </c>
      <c r="E12" t="s">
        <v>92</v>
      </c>
      <c r="F12" t="s">
        <v>93</v>
      </c>
    </row>
    <row r="13" spans="1:7" x14ac:dyDescent="0.2">
      <c r="A13" t="s">
        <v>73</v>
      </c>
      <c r="B13">
        <v>5</v>
      </c>
      <c r="C13">
        <v>8.1040000000000001E-3</v>
      </c>
      <c r="D13">
        <v>1.6207999999999999E-3</v>
      </c>
      <c r="E13">
        <v>3.0190000000000001</v>
      </c>
      <c r="F13">
        <v>1.7899999999999999E-2</v>
      </c>
      <c r="G13" t="s">
        <v>96</v>
      </c>
    </row>
    <row r="14" spans="1:7" x14ac:dyDescent="0.2">
      <c r="A14" t="s">
        <v>88</v>
      </c>
      <c r="B14">
        <v>54</v>
      </c>
      <c r="C14">
        <v>2.8995E-2</v>
      </c>
      <c r="D14">
        <v>5.3689999999999999E-4</v>
      </c>
    </row>
    <row r="17" spans="1:1" x14ac:dyDescent="0.2">
      <c r="A17" t="s">
        <v>87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350F-4D97-5942-BD42-2059C9B0E78B}">
  <dimension ref="A1:M421"/>
  <sheetViews>
    <sheetView workbookViewId="0">
      <selection activeCell="D434" sqref="D434"/>
    </sheetView>
  </sheetViews>
  <sheetFormatPr baseColWidth="10" defaultRowHeight="16" x14ac:dyDescent="0.2"/>
  <cols>
    <col min="1" max="1" width="54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100</v>
      </c>
    </row>
    <row r="2" spans="1:13" x14ac:dyDescent="0.2">
      <c r="A2" t="s">
        <v>12</v>
      </c>
      <c r="B2">
        <v>0.41450062063519999</v>
      </c>
      <c r="C2">
        <v>6.38769196556034E-3</v>
      </c>
      <c r="D2">
        <v>2.0289931182836899E-3</v>
      </c>
      <c r="E2">
        <v>3.14820780218498</v>
      </c>
      <c r="F2">
        <v>0.29984621135753298</v>
      </c>
      <c r="G2">
        <v>1.8499460488717299E-3</v>
      </c>
      <c r="H2">
        <v>162.083759977977</v>
      </c>
      <c r="I2">
        <v>9.9112123657387894</v>
      </c>
      <c r="J2">
        <v>1</v>
      </c>
      <c r="K2">
        <v>14</v>
      </c>
      <c r="L2">
        <v>7.1169469272693402E-3</v>
      </c>
      <c r="M2" t="s">
        <v>76</v>
      </c>
    </row>
    <row r="3" spans="1:13" x14ac:dyDescent="0.2">
      <c r="A3" t="s">
        <v>12</v>
      </c>
      <c r="B3">
        <v>0.118058613464917</v>
      </c>
      <c r="C3">
        <v>5.5258261602065199E-2</v>
      </c>
      <c r="D3">
        <v>2.7126102191908801E-2</v>
      </c>
      <c r="E3">
        <v>2.0370881599991799</v>
      </c>
      <c r="F3">
        <v>0.71823861184812898</v>
      </c>
      <c r="G3">
        <v>3.1528903871450499E-2</v>
      </c>
      <c r="H3">
        <v>22.7803229308741</v>
      </c>
      <c r="I3">
        <v>4.1497281716088601</v>
      </c>
      <c r="J3">
        <v>1</v>
      </c>
      <c r="K3">
        <v>31</v>
      </c>
      <c r="L3">
        <v>5.0256602141820199E-2</v>
      </c>
      <c r="M3" t="s">
        <v>78</v>
      </c>
    </row>
    <row r="4" spans="1:13" x14ac:dyDescent="0.2">
      <c r="A4" t="s">
        <v>12</v>
      </c>
      <c r="B4">
        <v>0.163503040560324</v>
      </c>
      <c r="C4">
        <v>7.2834979068971796E-3</v>
      </c>
      <c r="D4">
        <v>4.9672146056336996E-3</v>
      </c>
      <c r="E4">
        <v>1.46631432002886</v>
      </c>
      <c r="F4">
        <v>0.63316232178567999</v>
      </c>
      <c r="G4">
        <v>4.1507420736635802E-3</v>
      </c>
      <c r="H4">
        <v>152.54195769067201</v>
      </c>
      <c r="I4">
        <v>2.1500776851219001</v>
      </c>
      <c r="J4">
        <v>1</v>
      </c>
      <c r="K4">
        <v>11</v>
      </c>
      <c r="L4">
        <v>0.17055865703329001</v>
      </c>
      <c r="M4" t="s">
        <v>101</v>
      </c>
    </row>
    <row r="5" spans="1:13" x14ac:dyDescent="0.2">
      <c r="A5" t="s">
        <v>12</v>
      </c>
      <c r="B5">
        <v>0.1731764107148</v>
      </c>
      <c r="C5">
        <v>5.7819485416276101E-2</v>
      </c>
      <c r="D5">
        <v>2.5788772059339899E-2</v>
      </c>
      <c r="E5">
        <v>2.2420410434135301</v>
      </c>
      <c r="F5">
        <v>1.0291755500437501</v>
      </c>
      <c r="G5">
        <v>2.90473707342391E-2</v>
      </c>
      <c r="H5">
        <v>35.430936571158597</v>
      </c>
      <c r="I5">
        <v>5.0267480403507996</v>
      </c>
      <c r="J5">
        <v>1</v>
      </c>
      <c r="K5">
        <v>24</v>
      </c>
      <c r="L5">
        <v>3.4467404491012203E-2</v>
      </c>
      <c r="M5" t="s">
        <v>102</v>
      </c>
    </row>
    <row r="6" spans="1:13" x14ac:dyDescent="0.2">
      <c r="A6" t="s">
        <v>12</v>
      </c>
      <c r="B6">
        <v>1.37708207073716E-2</v>
      </c>
      <c r="C6">
        <v>-1.09759806851665E-2</v>
      </c>
      <c r="D6">
        <v>1.1610805742169101E-2</v>
      </c>
      <c r="E6">
        <v>-0.94532463369901598</v>
      </c>
      <c r="F6">
        <v>0.49268683844925198</v>
      </c>
      <c r="G6">
        <v>1.7363172826251699E-2</v>
      </c>
      <c r="H6">
        <v>28.3753921808777</v>
      </c>
      <c r="I6">
        <v>0.89363866307820805</v>
      </c>
      <c r="J6">
        <v>1</v>
      </c>
      <c r="K6">
        <v>64</v>
      </c>
      <c r="L6">
        <v>0.34804856535508699</v>
      </c>
      <c r="M6" t="s">
        <v>103</v>
      </c>
    </row>
    <row r="7" spans="1:13" x14ac:dyDescent="0.2">
      <c r="A7" t="s">
        <v>12</v>
      </c>
      <c r="B7">
        <v>2.8556004944450399E-2</v>
      </c>
      <c r="C7">
        <v>5.1032203969956702E-3</v>
      </c>
      <c r="D7">
        <v>4.7661991101360197E-3</v>
      </c>
      <c r="E7">
        <v>1.07071070240077</v>
      </c>
      <c r="F7">
        <v>0.40165691914240198</v>
      </c>
      <c r="G7">
        <v>6.0924296660871098E-3</v>
      </c>
      <c r="H7">
        <v>65.927214782336307</v>
      </c>
      <c r="I7">
        <v>1.1464214082355599</v>
      </c>
      <c r="J7">
        <v>1</v>
      </c>
      <c r="K7">
        <v>39</v>
      </c>
      <c r="L7">
        <v>0.29088129461069701</v>
      </c>
      <c r="M7" t="s">
        <v>104</v>
      </c>
    </row>
    <row r="8" spans="1:13" x14ac:dyDescent="0.2">
      <c r="A8" t="s">
        <v>12</v>
      </c>
      <c r="B8">
        <v>2.76857846286243E-2</v>
      </c>
      <c r="C8">
        <v>5.8866690308000203E-3</v>
      </c>
      <c r="D8">
        <v>5.7351351477991901E-3</v>
      </c>
      <c r="E8">
        <v>1.0264220247815701</v>
      </c>
      <c r="F8">
        <v>0.47874181709611602</v>
      </c>
      <c r="G8">
        <v>7.3164269687554396E-3</v>
      </c>
      <c r="H8">
        <v>65.433827077146702</v>
      </c>
      <c r="I8">
        <v>1.05354217295675</v>
      </c>
      <c r="J8">
        <v>1</v>
      </c>
      <c r="K8">
        <v>37</v>
      </c>
      <c r="L8">
        <v>0.31135659413254002</v>
      </c>
      <c r="M8" t="s">
        <v>105</v>
      </c>
    </row>
    <row r="9" spans="1:13" x14ac:dyDescent="0.2">
      <c r="A9" t="s">
        <v>13</v>
      </c>
      <c r="B9">
        <v>0.24086786067176499</v>
      </c>
      <c r="C9">
        <v>1.47658747332327E-2</v>
      </c>
      <c r="D9">
        <v>7.2703742162709903E-3</v>
      </c>
      <c r="E9">
        <v>2.0309648848867901</v>
      </c>
      <c r="F9">
        <v>0.29488383242035199</v>
      </c>
      <c r="G9">
        <v>6.6007943598913399E-3</v>
      </c>
      <c r="H9">
        <v>44.673991695933701</v>
      </c>
      <c r="I9">
        <v>4.12481836364333</v>
      </c>
      <c r="J9">
        <v>1</v>
      </c>
      <c r="K9">
        <v>13</v>
      </c>
      <c r="L9">
        <v>6.3227344083700995E-2</v>
      </c>
      <c r="M9" t="s">
        <v>76</v>
      </c>
    </row>
    <row r="10" spans="1:13" x14ac:dyDescent="0.2">
      <c r="A10" t="s">
        <v>13</v>
      </c>
      <c r="B10">
        <v>0.36757337418370301</v>
      </c>
      <c r="C10">
        <v>0.11816746762196501</v>
      </c>
      <c r="D10">
        <v>2.65822366766158E-2</v>
      </c>
      <c r="E10">
        <v>4.4453545824425102</v>
      </c>
      <c r="F10">
        <v>0.63132400012969403</v>
      </c>
      <c r="G10">
        <v>3.2537854265660797E-2</v>
      </c>
      <c r="H10">
        <v>19.4027545570505</v>
      </c>
      <c r="I10">
        <v>19.761177363642599</v>
      </c>
      <c r="J10">
        <v>1</v>
      </c>
      <c r="K10">
        <v>34</v>
      </c>
      <c r="L10" s="1">
        <v>8.8857337355262696E-5</v>
      </c>
      <c r="M10" t="s">
        <v>78</v>
      </c>
    </row>
    <row r="11" spans="1:13" x14ac:dyDescent="0.2">
      <c r="A11" t="s">
        <v>13</v>
      </c>
      <c r="B11">
        <v>0.18337433421320801</v>
      </c>
      <c r="C11">
        <v>1.8245766861721E-2</v>
      </c>
      <c r="D11">
        <v>1.0679051545389799E-2</v>
      </c>
      <c r="E11">
        <v>1.70855686801118</v>
      </c>
      <c r="F11">
        <v>0.62641890137461997</v>
      </c>
      <c r="G11">
        <v>9.6187829880269408E-3</v>
      </c>
      <c r="H11">
        <v>65.124548724548703</v>
      </c>
      <c r="I11">
        <v>2.9191665712281001</v>
      </c>
      <c r="J11">
        <v>1</v>
      </c>
      <c r="K11">
        <v>13</v>
      </c>
      <c r="L11">
        <v>0.1112832484891</v>
      </c>
      <c r="M11" t="s">
        <v>101</v>
      </c>
    </row>
    <row r="12" spans="1:13" x14ac:dyDescent="0.2">
      <c r="A12" t="s">
        <v>13</v>
      </c>
      <c r="B12">
        <v>7.1367760069931396E-2</v>
      </c>
      <c r="C12">
        <v>4.4920862966295903E-2</v>
      </c>
      <c r="D12">
        <v>3.0089844082608602E-2</v>
      </c>
      <c r="E12">
        <v>1.49289118424709</v>
      </c>
      <c r="F12">
        <v>1.0574313831705799</v>
      </c>
      <c r="G12">
        <v>3.7080801648303102E-2</v>
      </c>
      <c r="H12">
        <v>28.516950447832901</v>
      </c>
      <c r="I12">
        <v>2.22872408800266</v>
      </c>
      <c r="J12">
        <v>1</v>
      </c>
      <c r="K12">
        <v>29</v>
      </c>
      <c r="L12">
        <v>0.146266315006468</v>
      </c>
      <c r="M12" t="s">
        <v>102</v>
      </c>
    </row>
    <row r="13" spans="1:13" x14ac:dyDescent="0.2">
      <c r="A13" t="s">
        <v>13</v>
      </c>
      <c r="B13">
        <v>0.145986416435198</v>
      </c>
      <c r="C13">
        <v>-3.5031225592273202E-2</v>
      </c>
      <c r="D13">
        <v>1.00554687940394E-2</v>
      </c>
      <c r="E13">
        <v>-3.4837983499127199</v>
      </c>
      <c r="F13">
        <v>0.54613864333490303</v>
      </c>
      <c r="G13">
        <v>1.5390396737996E-2</v>
      </c>
      <c r="H13">
        <v>35.4856767263568</v>
      </c>
      <c r="I13">
        <v>12.136850942854601</v>
      </c>
      <c r="J13">
        <v>1</v>
      </c>
      <c r="K13">
        <v>71</v>
      </c>
      <c r="L13">
        <v>8.5089554160910105E-4</v>
      </c>
      <c r="M13" t="s">
        <v>103</v>
      </c>
    </row>
    <row r="14" spans="1:13" x14ac:dyDescent="0.2">
      <c r="A14" t="s">
        <v>13</v>
      </c>
      <c r="B14">
        <v>5.0414292411252802E-2</v>
      </c>
      <c r="C14">
        <v>-9.6145623881912605E-3</v>
      </c>
      <c r="D14">
        <v>6.3633460377950698E-3</v>
      </c>
      <c r="E14">
        <v>-1.51092873640465</v>
      </c>
      <c r="F14">
        <v>0.42511661107441101</v>
      </c>
      <c r="G14">
        <v>8.3517622812936607E-3</v>
      </c>
      <c r="H14">
        <v>50.9014261608704</v>
      </c>
      <c r="I14">
        <v>2.2829056464934898</v>
      </c>
      <c r="J14">
        <v>1</v>
      </c>
      <c r="K14">
        <v>43</v>
      </c>
      <c r="L14">
        <v>0.13812120186419299</v>
      </c>
      <c r="M14" t="s">
        <v>104</v>
      </c>
    </row>
    <row r="15" spans="1:13" x14ac:dyDescent="0.2">
      <c r="A15" t="s">
        <v>13</v>
      </c>
      <c r="B15">
        <v>0.17298088712069201</v>
      </c>
      <c r="C15">
        <v>-1.8275223201356199E-2</v>
      </c>
      <c r="D15">
        <v>6.3181714593974004E-3</v>
      </c>
      <c r="E15">
        <v>-2.8924861122871701</v>
      </c>
      <c r="F15">
        <v>0.51331790828264001</v>
      </c>
      <c r="G15">
        <v>8.1639212406320102E-3</v>
      </c>
      <c r="H15">
        <v>62.876391522231401</v>
      </c>
      <c r="I15">
        <v>8.3664759097743708</v>
      </c>
      <c r="J15">
        <v>1</v>
      </c>
      <c r="K15">
        <v>40</v>
      </c>
      <c r="L15">
        <v>6.1553986673910897E-3</v>
      </c>
      <c r="M15" t="s">
        <v>105</v>
      </c>
    </row>
    <row r="16" spans="1:13" x14ac:dyDescent="0.2">
      <c r="A16" t="s">
        <v>14</v>
      </c>
      <c r="B16">
        <v>0.280240763410465</v>
      </c>
      <c r="C16">
        <v>1.53345138179565E-2</v>
      </c>
      <c r="D16">
        <v>6.3453027969106301E-3</v>
      </c>
      <c r="E16">
        <v>2.41667171902695</v>
      </c>
      <c r="F16">
        <v>0.29376690631139402</v>
      </c>
      <c r="G16">
        <v>5.9412930881961598E-3</v>
      </c>
      <c r="H16">
        <v>49.4449443834094</v>
      </c>
      <c r="I16">
        <v>5.8403021975447098</v>
      </c>
      <c r="J16">
        <v>1</v>
      </c>
      <c r="K16">
        <v>15</v>
      </c>
      <c r="L16">
        <v>2.88679274622907E-2</v>
      </c>
      <c r="M16" t="s">
        <v>76</v>
      </c>
    </row>
    <row r="17" spans="1:13" x14ac:dyDescent="0.2">
      <c r="A17" t="s">
        <v>14</v>
      </c>
      <c r="B17">
        <v>0.24366688665063799</v>
      </c>
      <c r="C17">
        <v>9.6891365146640707E-2</v>
      </c>
      <c r="D17">
        <v>2.97157301090227E-2</v>
      </c>
      <c r="E17">
        <v>3.2606085999287302</v>
      </c>
      <c r="F17">
        <v>0.65970322590404296</v>
      </c>
      <c r="G17">
        <v>3.6281492171223603E-2</v>
      </c>
      <c r="H17">
        <v>18.182913282361699</v>
      </c>
      <c r="I17">
        <v>10.631568441929099</v>
      </c>
      <c r="J17">
        <v>1</v>
      </c>
      <c r="K17">
        <v>33</v>
      </c>
      <c r="L17">
        <v>2.58320746768047E-3</v>
      </c>
      <c r="M17" t="s">
        <v>78</v>
      </c>
    </row>
    <row r="18" spans="1:13" x14ac:dyDescent="0.2">
      <c r="A18" t="s">
        <v>14</v>
      </c>
      <c r="B18">
        <v>0.18122327229989499</v>
      </c>
      <c r="C18">
        <v>3.0630376877145701E-2</v>
      </c>
      <c r="D18">
        <v>1.7400594386295001E-2</v>
      </c>
      <c r="E18">
        <v>1.76030635489502</v>
      </c>
      <c r="F18">
        <v>0.62154328545673898</v>
      </c>
      <c r="G18">
        <v>1.6144667154674799E-2</v>
      </c>
      <c r="H18">
        <v>38.498364785226599</v>
      </c>
      <c r="I18">
        <v>3.0986784630837798</v>
      </c>
      <c r="J18">
        <v>1</v>
      </c>
      <c r="K18">
        <v>14</v>
      </c>
      <c r="L18">
        <v>0.100175482922346</v>
      </c>
      <c r="M18" t="s">
        <v>101</v>
      </c>
    </row>
    <row r="19" spans="1:13" x14ac:dyDescent="0.2">
      <c r="A19" t="s">
        <v>14</v>
      </c>
      <c r="B19">
        <v>0.13268046890103</v>
      </c>
      <c r="C19">
        <v>4.9371585929331101E-2</v>
      </c>
      <c r="D19">
        <v>2.2671606514142701E-2</v>
      </c>
      <c r="E19">
        <v>2.1776836104901802</v>
      </c>
      <c r="F19">
        <v>1.04206442162906</v>
      </c>
      <c r="G19">
        <v>2.7937283460554501E-2</v>
      </c>
      <c r="H19">
        <v>37.300134177339999</v>
      </c>
      <c r="I19">
        <v>4.7423059073975402</v>
      </c>
      <c r="J19">
        <v>1</v>
      </c>
      <c r="K19">
        <v>31</v>
      </c>
      <c r="L19">
        <v>3.7160622604900599E-2</v>
      </c>
      <c r="M19" t="s">
        <v>102</v>
      </c>
    </row>
    <row r="20" spans="1:13" x14ac:dyDescent="0.2">
      <c r="A20" t="s">
        <v>14</v>
      </c>
      <c r="B20">
        <v>6.8779843077221804E-3</v>
      </c>
      <c r="C20">
        <v>9.8350506724696404E-3</v>
      </c>
      <c r="D20">
        <v>1.40254931988123E-2</v>
      </c>
      <c r="E20">
        <v>0.701226725724161</v>
      </c>
      <c r="F20">
        <v>0.47632521520837201</v>
      </c>
      <c r="G20">
        <v>2.1401513865357699E-2</v>
      </c>
      <c r="H20">
        <v>22.256613163211401</v>
      </c>
      <c r="I20">
        <v>0.49171892086982699</v>
      </c>
      <c r="J20">
        <v>1</v>
      </c>
      <c r="K20">
        <v>71</v>
      </c>
      <c r="L20">
        <v>0.485453567154219</v>
      </c>
      <c r="M20" t="s">
        <v>103</v>
      </c>
    </row>
    <row r="21" spans="1:13" x14ac:dyDescent="0.2">
      <c r="A21" t="s">
        <v>14</v>
      </c>
      <c r="B21">
        <v>4.5293747661105603E-2</v>
      </c>
      <c r="C21">
        <v>-9.7630313535054507E-3</v>
      </c>
      <c r="D21">
        <v>6.8354358446295E-3</v>
      </c>
      <c r="E21">
        <v>-1.42829683072457</v>
      </c>
      <c r="F21">
        <v>0.41793965485829698</v>
      </c>
      <c r="G21">
        <v>8.9579164555368598E-3</v>
      </c>
      <c r="H21">
        <v>46.655900055862801</v>
      </c>
      <c r="I21">
        <v>2.0400318366577399</v>
      </c>
      <c r="J21">
        <v>1</v>
      </c>
      <c r="K21">
        <v>43</v>
      </c>
      <c r="L21">
        <v>0.16043006125605799</v>
      </c>
      <c r="M21" t="s">
        <v>104</v>
      </c>
    </row>
    <row r="22" spans="1:13" x14ac:dyDescent="0.2">
      <c r="A22" t="s">
        <v>14</v>
      </c>
      <c r="B22">
        <v>0.18091599263563901</v>
      </c>
      <c r="C22">
        <v>-2.1012376074745601E-2</v>
      </c>
      <c r="D22">
        <v>6.7402277333881901E-3</v>
      </c>
      <c r="E22">
        <v>-3.1174578821216001</v>
      </c>
      <c r="F22">
        <v>0.51351697672142205</v>
      </c>
      <c r="G22">
        <v>8.8558385646798805E-3</v>
      </c>
      <c r="H22">
        <v>57.986262167143003</v>
      </c>
      <c r="I22">
        <v>9.7185436468021198</v>
      </c>
      <c r="J22">
        <v>1</v>
      </c>
      <c r="K22">
        <v>44</v>
      </c>
      <c r="L22">
        <v>3.2110961029821099E-3</v>
      </c>
      <c r="M22" t="s">
        <v>105</v>
      </c>
    </row>
    <row r="23" spans="1:13" x14ac:dyDescent="0.2">
      <c r="A23" t="s">
        <v>15</v>
      </c>
      <c r="B23">
        <v>0.26343966926539902</v>
      </c>
      <c r="C23">
        <v>1.0356231882344601E-2</v>
      </c>
      <c r="D23">
        <v>5.7722361134628798E-3</v>
      </c>
      <c r="E23">
        <v>1.79414557526332</v>
      </c>
      <c r="F23">
        <v>0.29759231145737203</v>
      </c>
      <c r="G23">
        <v>4.9998444117662303E-3</v>
      </c>
      <c r="H23">
        <v>59.520314423593199</v>
      </c>
      <c r="I23">
        <v>3.21895834523689</v>
      </c>
      <c r="J23">
        <v>1</v>
      </c>
      <c r="K23">
        <v>9</v>
      </c>
      <c r="L23">
        <v>0.10637142624680999</v>
      </c>
      <c r="M23" t="s">
        <v>76</v>
      </c>
    </row>
    <row r="24" spans="1:13" x14ac:dyDescent="0.2">
      <c r="A24" t="s">
        <v>15</v>
      </c>
      <c r="B24">
        <v>3.3920583027491701E-2</v>
      </c>
      <c r="C24">
        <v>-2.31361455679743E-2</v>
      </c>
      <c r="D24">
        <v>2.4214700096561601E-2</v>
      </c>
      <c r="E24">
        <v>-0.95545868731446704</v>
      </c>
      <c r="F24">
        <v>0.79996645776545094</v>
      </c>
      <c r="G24">
        <v>2.73806927843184E-2</v>
      </c>
      <c r="H24">
        <v>29.2164432823852</v>
      </c>
      <c r="I24">
        <v>0.91290130316468898</v>
      </c>
      <c r="J24">
        <v>1</v>
      </c>
      <c r="K24">
        <v>26</v>
      </c>
      <c r="L24">
        <v>0.34814577958755799</v>
      </c>
      <c r="M24" t="s">
        <v>78</v>
      </c>
    </row>
    <row r="25" spans="1:13" x14ac:dyDescent="0.2">
      <c r="A25" t="s">
        <v>15</v>
      </c>
      <c r="B25">
        <v>0.14808891219768699</v>
      </c>
      <c r="C25">
        <v>-1.20089903719787E-2</v>
      </c>
      <c r="D25">
        <v>9.6011024911842099E-3</v>
      </c>
      <c r="E25">
        <v>-1.25079285248808</v>
      </c>
      <c r="F25">
        <v>0.64704710547786704</v>
      </c>
      <c r="G25">
        <v>8.0729408835779493E-3</v>
      </c>
      <c r="H25">
        <v>80.150110698084902</v>
      </c>
      <c r="I25">
        <v>1.56448275983522</v>
      </c>
      <c r="J25">
        <v>1</v>
      </c>
      <c r="K25">
        <v>9</v>
      </c>
      <c r="L25">
        <v>0.24254804612165101</v>
      </c>
      <c r="M25" t="s">
        <v>101</v>
      </c>
    </row>
    <row r="26" spans="1:13" x14ac:dyDescent="0.2">
      <c r="A26" t="s">
        <v>15</v>
      </c>
      <c r="B26" s="1">
        <v>2.10503144783147E-5</v>
      </c>
      <c r="C26">
        <v>-6.7709939124374803E-4</v>
      </c>
      <c r="D26">
        <v>2.95153918800234E-2</v>
      </c>
      <c r="E26">
        <v>-2.2940552305592901E-2</v>
      </c>
      <c r="F26">
        <v>1.06960562876551</v>
      </c>
      <c r="G26">
        <v>3.2071045791890199E-2</v>
      </c>
      <c r="H26">
        <v>33.351130353098</v>
      </c>
      <c r="I26">
        <v>5.2626894008455597E-4</v>
      </c>
      <c r="J26">
        <v>1</v>
      </c>
      <c r="K26">
        <v>25</v>
      </c>
      <c r="L26">
        <v>0.98187981916565203</v>
      </c>
      <c r="M26" t="s">
        <v>102</v>
      </c>
    </row>
    <row r="27" spans="1:13" x14ac:dyDescent="0.2">
      <c r="A27" t="s">
        <v>15</v>
      </c>
      <c r="B27">
        <v>0.11262837211874099</v>
      </c>
      <c r="C27">
        <v>-3.0979997235975502E-2</v>
      </c>
      <c r="D27">
        <v>1.17254331722187E-2</v>
      </c>
      <c r="E27">
        <v>-2.64211963694245</v>
      </c>
      <c r="F27">
        <v>0.52178270158520901</v>
      </c>
      <c r="G27">
        <v>1.7097683780453898E-2</v>
      </c>
      <c r="H27">
        <v>30.517741951790601</v>
      </c>
      <c r="I27">
        <v>6.9807961759169901</v>
      </c>
      <c r="J27">
        <v>1</v>
      </c>
      <c r="K27">
        <v>55</v>
      </c>
      <c r="L27">
        <v>1.07079617694596E-2</v>
      </c>
      <c r="M27" t="s">
        <v>103</v>
      </c>
    </row>
    <row r="28" spans="1:13" x14ac:dyDescent="0.2">
      <c r="A28" t="s">
        <v>15</v>
      </c>
      <c r="B28">
        <v>6.0196046448811297E-2</v>
      </c>
      <c r="C28">
        <v>-9.9744732789984105E-3</v>
      </c>
      <c r="D28">
        <v>6.6617847889661099E-3</v>
      </c>
      <c r="E28">
        <v>-1.49726741330928</v>
      </c>
      <c r="F28">
        <v>0.41495384505767302</v>
      </c>
      <c r="G28">
        <v>8.3460242671228903E-3</v>
      </c>
      <c r="H28">
        <v>49.718744132135001</v>
      </c>
      <c r="I28">
        <v>2.2418097069578198</v>
      </c>
      <c r="J28">
        <v>1</v>
      </c>
      <c r="K28">
        <v>35</v>
      </c>
      <c r="L28">
        <v>0.14328852643649401</v>
      </c>
      <c r="M28" t="s">
        <v>104</v>
      </c>
    </row>
    <row r="29" spans="1:13" x14ac:dyDescent="0.2">
      <c r="A29" t="s">
        <v>15</v>
      </c>
      <c r="B29">
        <v>3.7332309579305903E-2</v>
      </c>
      <c r="C29">
        <v>-9.2617203308953504E-3</v>
      </c>
      <c r="D29">
        <v>8.06580973162839E-3</v>
      </c>
      <c r="E29">
        <v>-1.14826913094385</v>
      </c>
      <c r="F29">
        <v>0.49649312930648698</v>
      </c>
      <c r="G29">
        <v>1.00369180220565E-2</v>
      </c>
      <c r="H29">
        <v>49.4666916891643</v>
      </c>
      <c r="I29">
        <v>1.3185219970784601</v>
      </c>
      <c r="J29">
        <v>1</v>
      </c>
      <c r="K29">
        <v>34</v>
      </c>
      <c r="L29">
        <v>0.25887246030948902</v>
      </c>
      <c r="M29" t="s">
        <v>105</v>
      </c>
    </row>
    <row r="30" spans="1:13" x14ac:dyDescent="0.2">
      <c r="A30" t="s">
        <v>16</v>
      </c>
      <c r="B30">
        <v>9.5518343494984406E-2</v>
      </c>
      <c r="C30">
        <v>3.9450737930528997E-3</v>
      </c>
      <c r="D30">
        <v>4.0466008375587698E-3</v>
      </c>
      <c r="E30">
        <v>0.97491053637820102</v>
      </c>
      <c r="F30">
        <v>0.30267883992786998</v>
      </c>
      <c r="G30">
        <v>3.5703626333912501E-3</v>
      </c>
      <c r="H30">
        <v>84.775377463654294</v>
      </c>
      <c r="I30">
        <v>0.95045055394121503</v>
      </c>
      <c r="J30">
        <v>1</v>
      </c>
      <c r="K30">
        <v>9</v>
      </c>
      <c r="L30">
        <v>0.35507839060012097</v>
      </c>
      <c r="M30" t="s">
        <v>76</v>
      </c>
    </row>
    <row r="31" spans="1:13" x14ac:dyDescent="0.2">
      <c r="A31" t="s">
        <v>16</v>
      </c>
      <c r="B31">
        <v>0.105543030145512</v>
      </c>
      <c r="C31">
        <v>6.3539996328777298E-2</v>
      </c>
      <c r="D31">
        <v>3.4348923709548299E-2</v>
      </c>
      <c r="E31">
        <v>1.8498395136356001</v>
      </c>
      <c r="F31">
        <v>0.70331725326718397</v>
      </c>
      <c r="G31">
        <v>3.8362473898157501E-2</v>
      </c>
      <c r="H31">
        <v>18.333469711424499</v>
      </c>
      <c r="I31">
        <v>3.4219062262075899</v>
      </c>
      <c r="J31">
        <v>1</v>
      </c>
      <c r="K31">
        <v>29</v>
      </c>
      <c r="L31">
        <v>7.4551412130893502E-2</v>
      </c>
      <c r="M31" t="s">
        <v>78</v>
      </c>
    </row>
    <row r="32" spans="1:13" x14ac:dyDescent="0.2">
      <c r="A32" t="s">
        <v>16</v>
      </c>
      <c r="B32">
        <v>8.7671892946113996E-4</v>
      </c>
      <c r="C32">
        <v>1.19221507946938E-3</v>
      </c>
      <c r="D32">
        <v>1.2727231924463201E-2</v>
      </c>
      <c r="E32">
        <v>9.3674342272163896E-2</v>
      </c>
      <c r="F32">
        <v>0.63484633948845604</v>
      </c>
      <c r="G32">
        <v>1.0442102389647901E-2</v>
      </c>
      <c r="H32">
        <v>60.796793193469298</v>
      </c>
      <c r="I32">
        <v>8.7748824001153795E-3</v>
      </c>
      <c r="J32">
        <v>1</v>
      </c>
      <c r="K32">
        <v>10</v>
      </c>
      <c r="L32">
        <v>0.92721813036825695</v>
      </c>
      <c r="M32" t="s">
        <v>101</v>
      </c>
    </row>
    <row r="33" spans="1:13" x14ac:dyDescent="0.2">
      <c r="A33" t="s">
        <v>16</v>
      </c>
      <c r="B33">
        <v>1.0874425104813699E-3</v>
      </c>
      <c r="C33">
        <v>5.1177669777339599E-3</v>
      </c>
      <c r="D33">
        <v>3.2342767054402102E-2</v>
      </c>
      <c r="E33">
        <v>0.15823528546971899</v>
      </c>
      <c r="F33">
        <v>1.0764734302921699</v>
      </c>
      <c r="G33">
        <v>3.3990729993907197E-2</v>
      </c>
      <c r="H33">
        <v>31.6696178777309</v>
      </c>
      <c r="I33">
        <v>2.50384055676805E-2</v>
      </c>
      <c r="J33">
        <v>1</v>
      </c>
      <c r="K33">
        <v>23</v>
      </c>
      <c r="L33">
        <v>0.87565250065092304</v>
      </c>
      <c r="M33" t="s">
        <v>102</v>
      </c>
    </row>
    <row r="34" spans="1:13" x14ac:dyDescent="0.2">
      <c r="A34" t="s">
        <v>16</v>
      </c>
      <c r="B34">
        <v>0.16017226737083701</v>
      </c>
      <c r="C34">
        <v>-3.0485587973879898E-2</v>
      </c>
      <c r="D34">
        <v>9.5886636553408899E-3</v>
      </c>
      <c r="E34">
        <v>-3.1793364612283002</v>
      </c>
      <c r="F34">
        <v>0.52142760719243497</v>
      </c>
      <c r="G34">
        <v>1.3753375119990301E-2</v>
      </c>
      <c r="H34">
        <v>37.912701620022602</v>
      </c>
      <c r="I34">
        <v>10.108180333695699</v>
      </c>
      <c r="J34">
        <v>1</v>
      </c>
      <c r="K34">
        <v>53</v>
      </c>
      <c r="L34">
        <v>2.46552197310081E-3</v>
      </c>
      <c r="M34" t="s">
        <v>103</v>
      </c>
    </row>
    <row r="35" spans="1:13" x14ac:dyDescent="0.2">
      <c r="A35" t="s">
        <v>16</v>
      </c>
      <c r="B35">
        <v>4.0684316222444297E-2</v>
      </c>
      <c r="C35">
        <v>9.8356168994890199E-3</v>
      </c>
      <c r="D35">
        <v>8.0729979847788194E-3</v>
      </c>
      <c r="E35">
        <v>1.2183351114460199</v>
      </c>
      <c r="F35">
        <v>0.39398258903765898</v>
      </c>
      <c r="G35">
        <v>1.0064106057090599E-2</v>
      </c>
      <c r="H35">
        <v>39.147300992528798</v>
      </c>
      <c r="I35">
        <v>1.4843404437821499</v>
      </c>
      <c r="J35">
        <v>1</v>
      </c>
      <c r="K35">
        <v>35</v>
      </c>
      <c r="L35">
        <v>0.23124576038634401</v>
      </c>
      <c r="M35" t="s">
        <v>104</v>
      </c>
    </row>
    <row r="36" spans="1:13" x14ac:dyDescent="0.2">
      <c r="A36" t="s">
        <v>16</v>
      </c>
      <c r="B36" s="1">
        <v>1.6023523876737599E-6</v>
      </c>
      <c r="C36" s="1">
        <v>-4.98862739379654E-5</v>
      </c>
      <c r="D36">
        <v>6.6614332607465004E-3</v>
      </c>
      <c r="E36">
        <v>-7.4888198958515204E-3</v>
      </c>
      <c r="F36">
        <v>0.48661097820083199</v>
      </c>
      <c r="G36">
        <v>8.2310171777377501E-3</v>
      </c>
      <c r="H36">
        <v>59.1191790386439</v>
      </c>
      <c r="I36" s="1">
        <v>5.6082423432386697E-5</v>
      </c>
      <c r="J36">
        <v>1</v>
      </c>
      <c r="K36">
        <v>35</v>
      </c>
      <c r="L36">
        <v>0.99406736553550101</v>
      </c>
      <c r="M36" t="s">
        <v>105</v>
      </c>
    </row>
    <row r="37" spans="1:13" x14ac:dyDescent="0.2">
      <c r="A37" t="s">
        <v>17</v>
      </c>
      <c r="B37">
        <v>0.38410267912979601</v>
      </c>
      <c r="C37">
        <v>1.0272356536464499E-2</v>
      </c>
      <c r="D37">
        <v>3.6076873844046002E-3</v>
      </c>
      <c r="E37">
        <v>2.84735217936846</v>
      </c>
      <c r="F37">
        <v>0.29821406533793099</v>
      </c>
      <c r="G37">
        <v>3.23438280837408E-3</v>
      </c>
      <c r="H37">
        <v>92.201227562127599</v>
      </c>
      <c r="I37">
        <v>8.1074144333543199</v>
      </c>
      <c r="J37">
        <v>1</v>
      </c>
      <c r="K37">
        <v>13</v>
      </c>
      <c r="L37">
        <v>1.3726458423909601E-2</v>
      </c>
      <c r="M37" t="s">
        <v>76</v>
      </c>
    </row>
    <row r="38" spans="1:13" x14ac:dyDescent="0.2">
      <c r="A38" t="s">
        <v>17</v>
      </c>
      <c r="B38">
        <v>0.25339075574040498</v>
      </c>
      <c r="C38">
        <v>8.4492801346286797E-2</v>
      </c>
      <c r="D38">
        <v>2.4873193522668102E-2</v>
      </c>
      <c r="E38">
        <v>3.39694222494126</v>
      </c>
      <c r="F38">
        <v>0.67982124499189001</v>
      </c>
      <c r="G38">
        <v>3.0745249154294298E-2</v>
      </c>
      <c r="H38">
        <v>22.1114241611841</v>
      </c>
      <c r="I38">
        <v>11.5392164795889</v>
      </c>
      <c r="J38">
        <v>1</v>
      </c>
      <c r="K38">
        <v>34</v>
      </c>
      <c r="L38">
        <v>1.75102331511426E-3</v>
      </c>
      <c r="M38" t="s">
        <v>78</v>
      </c>
    </row>
    <row r="39" spans="1:13" x14ac:dyDescent="0.2">
      <c r="A39" t="s">
        <v>17</v>
      </c>
      <c r="B39">
        <v>1.2975629820754399E-2</v>
      </c>
      <c r="C39">
        <v>-3.2581560934898698E-3</v>
      </c>
      <c r="D39">
        <v>7.88133749073309E-3</v>
      </c>
      <c r="E39">
        <v>-0.41340141788380802</v>
      </c>
      <c r="F39">
        <v>0.64696465008609905</v>
      </c>
      <c r="G39">
        <v>6.95096065319267E-3</v>
      </c>
      <c r="H39">
        <v>93.075573631529494</v>
      </c>
      <c r="I39">
        <v>0.170900732308336</v>
      </c>
      <c r="J39">
        <v>1</v>
      </c>
      <c r="K39">
        <v>13</v>
      </c>
      <c r="L39">
        <v>0.68605069398921004</v>
      </c>
      <c r="M39" t="s">
        <v>101</v>
      </c>
    </row>
    <row r="40" spans="1:13" x14ac:dyDescent="0.2">
      <c r="A40" t="s">
        <v>17</v>
      </c>
      <c r="B40">
        <v>0.17963401131286699</v>
      </c>
      <c r="C40">
        <v>6.8605109222510494E-2</v>
      </c>
      <c r="D40">
        <v>2.7224944339394101E-2</v>
      </c>
      <c r="E40">
        <v>2.5199357018791</v>
      </c>
      <c r="F40">
        <v>1.0174750366267</v>
      </c>
      <c r="G40">
        <v>3.3224643028761401E-2</v>
      </c>
      <c r="H40">
        <v>30.6241074056359</v>
      </c>
      <c r="I40">
        <v>6.3500759416049597</v>
      </c>
      <c r="J40">
        <v>1</v>
      </c>
      <c r="K40">
        <v>29</v>
      </c>
      <c r="L40">
        <v>1.7498891788110701E-2</v>
      </c>
      <c r="M40" t="s">
        <v>102</v>
      </c>
    </row>
    <row r="41" spans="1:13" x14ac:dyDescent="0.2">
      <c r="A41" t="s">
        <v>17</v>
      </c>
      <c r="B41">
        <v>0.21874146340592701</v>
      </c>
      <c r="C41">
        <v>-5.20794067710749E-2</v>
      </c>
      <c r="D41">
        <v>1.15195742881288E-2</v>
      </c>
      <c r="E41">
        <v>-4.5209489056157297</v>
      </c>
      <c r="F41">
        <v>0.56819046462335099</v>
      </c>
      <c r="G41">
        <v>1.7931380369557499E-2</v>
      </c>
      <c r="H41">
        <v>31.6869339065486</v>
      </c>
      <c r="I41">
        <v>20.4389790071879</v>
      </c>
      <c r="J41">
        <v>1</v>
      </c>
      <c r="K41">
        <v>73</v>
      </c>
      <c r="L41" s="1">
        <v>2.3287910879420799E-5</v>
      </c>
      <c r="M41" t="s">
        <v>103</v>
      </c>
    </row>
    <row r="42" spans="1:13" x14ac:dyDescent="0.2">
      <c r="A42" t="s">
        <v>17</v>
      </c>
      <c r="B42">
        <v>0.11046569925246</v>
      </c>
      <c r="C42">
        <v>-1.37672762992254E-2</v>
      </c>
      <c r="D42">
        <v>5.8896476922136896E-3</v>
      </c>
      <c r="E42">
        <v>-2.3375381718377199</v>
      </c>
      <c r="F42">
        <v>0.42316829544718998</v>
      </c>
      <c r="G42">
        <v>7.8126862184361903E-3</v>
      </c>
      <c r="H42">
        <v>54.164250760334902</v>
      </c>
      <c r="I42">
        <v>5.4640847047984904</v>
      </c>
      <c r="J42">
        <v>1</v>
      </c>
      <c r="K42">
        <v>44</v>
      </c>
      <c r="L42">
        <v>2.4024046586441E-2</v>
      </c>
      <c r="M42" t="s">
        <v>104</v>
      </c>
    </row>
    <row r="43" spans="1:13" x14ac:dyDescent="0.2">
      <c r="A43" t="s">
        <v>17</v>
      </c>
      <c r="B43">
        <v>4.1997614062955803E-3</v>
      </c>
      <c r="C43">
        <v>2.4330856046456601E-3</v>
      </c>
      <c r="D43">
        <v>5.9238110487971497E-3</v>
      </c>
      <c r="E43">
        <v>0.41072977929296201</v>
      </c>
      <c r="F43">
        <v>0.48189077961252103</v>
      </c>
      <c r="G43">
        <v>7.6974370794443596E-3</v>
      </c>
      <c r="H43">
        <v>62.604055692691198</v>
      </c>
      <c r="I43">
        <v>0.168698951598027</v>
      </c>
      <c r="J43">
        <v>1</v>
      </c>
      <c r="K43">
        <v>40</v>
      </c>
      <c r="L43">
        <v>0.68346272345733095</v>
      </c>
      <c r="M43" t="s">
        <v>105</v>
      </c>
    </row>
    <row r="44" spans="1:13" x14ac:dyDescent="0.2">
      <c r="A44" t="s">
        <v>18</v>
      </c>
      <c r="B44">
        <v>0.117294767041125</v>
      </c>
      <c r="C44">
        <v>5.2031511628725796E-3</v>
      </c>
      <c r="D44">
        <v>3.9587976083471001E-3</v>
      </c>
      <c r="E44">
        <v>1.3143261357695499</v>
      </c>
      <c r="F44">
        <v>0.30100575746684199</v>
      </c>
      <c r="G44">
        <v>3.5917811712231698E-3</v>
      </c>
      <c r="H44">
        <v>83.804035690831199</v>
      </c>
      <c r="I44">
        <v>1.7274531911670099</v>
      </c>
      <c r="J44">
        <v>1</v>
      </c>
      <c r="K44">
        <v>13</v>
      </c>
      <c r="L44">
        <v>0.21145464250649501</v>
      </c>
      <c r="M44" t="s">
        <v>76</v>
      </c>
    </row>
    <row r="45" spans="1:13" x14ac:dyDescent="0.2">
      <c r="A45" t="s">
        <v>18</v>
      </c>
      <c r="B45">
        <v>0.23166353470769899</v>
      </c>
      <c r="C45">
        <v>8.1944199735493703E-2</v>
      </c>
      <c r="D45">
        <v>2.52249944595704E-2</v>
      </c>
      <c r="E45">
        <v>3.2485319220517801</v>
      </c>
      <c r="F45">
        <v>0.67211347065649196</v>
      </c>
      <c r="G45">
        <v>3.1604288841750497E-2</v>
      </c>
      <c r="H45">
        <v>21.266527274886901</v>
      </c>
      <c r="I45">
        <v>10.5529596485894</v>
      </c>
      <c r="J45">
        <v>1</v>
      </c>
      <c r="K45">
        <v>35</v>
      </c>
      <c r="L45">
        <v>2.5623299522037498E-3</v>
      </c>
      <c r="M45" t="s">
        <v>78</v>
      </c>
    </row>
    <row r="46" spans="1:13" x14ac:dyDescent="0.2">
      <c r="A46" t="s">
        <v>18</v>
      </c>
      <c r="B46">
        <v>0.15286560107766001</v>
      </c>
      <c r="C46">
        <v>2.0933117649250401E-2</v>
      </c>
      <c r="D46">
        <v>1.31701636321818E-2</v>
      </c>
      <c r="E46">
        <v>1.5894348949544901</v>
      </c>
      <c r="F46">
        <v>0.62648351267301605</v>
      </c>
      <c r="G46">
        <v>1.2013045414132501E-2</v>
      </c>
      <c r="H46">
        <v>52.150265904763799</v>
      </c>
      <c r="I46">
        <v>2.52630328529892</v>
      </c>
      <c r="J46">
        <v>1</v>
      </c>
      <c r="K46">
        <v>14</v>
      </c>
      <c r="L46">
        <v>0.134283781818373</v>
      </c>
      <c r="M46" t="s">
        <v>101</v>
      </c>
    </row>
    <row r="47" spans="1:13" x14ac:dyDescent="0.2">
      <c r="A47" t="s">
        <v>18</v>
      </c>
      <c r="B47">
        <v>0.18051341494685799</v>
      </c>
      <c r="C47">
        <v>6.7893579952281305E-2</v>
      </c>
      <c r="D47">
        <v>2.7337945704840098E-2</v>
      </c>
      <c r="E47">
        <v>2.4834923840038599</v>
      </c>
      <c r="F47">
        <v>1.0114837537986301</v>
      </c>
      <c r="G47">
        <v>3.3177006631924202E-2</v>
      </c>
      <c r="H47">
        <v>30.487492889890301</v>
      </c>
      <c r="I47">
        <v>6.1677344214051599</v>
      </c>
      <c r="J47">
        <v>1</v>
      </c>
      <c r="K47">
        <v>28</v>
      </c>
      <c r="L47">
        <v>1.92663411231217E-2</v>
      </c>
      <c r="M47" t="s">
        <v>102</v>
      </c>
    </row>
    <row r="48" spans="1:13" x14ac:dyDescent="0.2">
      <c r="A48" t="s">
        <v>18</v>
      </c>
      <c r="B48">
        <v>1.35180883025508E-2</v>
      </c>
      <c r="C48">
        <v>-1.3952484224096401E-2</v>
      </c>
      <c r="D48">
        <v>1.44538654459573E-2</v>
      </c>
      <c r="E48">
        <v>-0.96531161690030298</v>
      </c>
      <c r="F48">
        <v>0.50980104323743003</v>
      </c>
      <c r="G48">
        <v>2.2313629368189401E-2</v>
      </c>
      <c r="H48">
        <v>22.8470696015149</v>
      </c>
      <c r="I48">
        <v>0.93182651772269098</v>
      </c>
      <c r="J48">
        <v>1</v>
      </c>
      <c r="K48">
        <v>68</v>
      </c>
      <c r="L48">
        <v>0.33780932129858399</v>
      </c>
      <c r="M48" t="s">
        <v>103</v>
      </c>
    </row>
    <row r="49" spans="1:13" x14ac:dyDescent="0.2">
      <c r="A49" t="s">
        <v>18</v>
      </c>
      <c r="B49">
        <v>3.6695053085824999E-4</v>
      </c>
      <c r="C49">
        <v>-8.4752662545414998E-4</v>
      </c>
      <c r="D49">
        <v>6.5942231046481701E-3</v>
      </c>
      <c r="E49">
        <v>-0.128525621897254</v>
      </c>
      <c r="F49">
        <v>0.41078829704824399</v>
      </c>
      <c r="G49">
        <v>8.8277156498685304E-3</v>
      </c>
      <c r="H49">
        <v>46.5339294265059</v>
      </c>
      <c r="I49">
        <v>1.6518835484071299E-2</v>
      </c>
      <c r="J49">
        <v>1</v>
      </c>
      <c r="K49">
        <v>45</v>
      </c>
      <c r="L49">
        <v>0.89830572782712803</v>
      </c>
      <c r="M49" t="s">
        <v>104</v>
      </c>
    </row>
    <row r="50" spans="1:13" x14ac:dyDescent="0.2">
      <c r="A50" t="s">
        <v>18</v>
      </c>
      <c r="B50">
        <v>2.20027834601139E-2</v>
      </c>
      <c r="C50">
        <v>-6.0937970196634E-3</v>
      </c>
      <c r="D50">
        <v>6.5055748436004396E-3</v>
      </c>
      <c r="E50">
        <v>-0.93670385264384404</v>
      </c>
      <c r="F50">
        <v>0.49342382263193602</v>
      </c>
      <c r="G50">
        <v>8.3891335386715796E-3</v>
      </c>
      <c r="H50">
        <v>58.817018510599297</v>
      </c>
      <c r="I50">
        <v>0.87741410755788596</v>
      </c>
      <c r="J50">
        <v>1</v>
      </c>
      <c r="K50">
        <v>39</v>
      </c>
      <c r="L50">
        <v>0.35467552290306997</v>
      </c>
      <c r="M50" t="s">
        <v>105</v>
      </c>
    </row>
    <row r="51" spans="1:13" x14ac:dyDescent="0.2">
      <c r="A51" t="s">
        <v>19</v>
      </c>
      <c r="B51">
        <v>0.26367909222018299</v>
      </c>
      <c r="C51">
        <v>1.3896731572406999E-2</v>
      </c>
      <c r="D51">
        <v>6.2064658450553404E-3</v>
      </c>
      <c r="E51">
        <v>2.23907323738492</v>
      </c>
      <c r="F51">
        <v>0.29533746655531501</v>
      </c>
      <c r="G51">
        <v>5.7220413995545403E-3</v>
      </c>
      <c r="H51">
        <v>51.6140038026127</v>
      </c>
      <c r="I51">
        <v>5.0134489623733902</v>
      </c>
      <c r="J51">
        <v>1</v>
      </c>
      <c r="K51">
        <v>14</v>
      </c>
      <c r="L51">
        <v>4.1907980798572803E-2</v>
      </c>
      <c r="M51" t="s">
        <v>76</v>
      </c>
    </row>
    <row r="52" spans="1:13" x14ac:dyDescent="0.2">
      <c r="A52" t="s">
        <v>19</v>
      </c>
      <c r="B52">
        <v>0.30629878487709</v>
      </c>
      <c r="C52">
        <v>0.10147486156570699</v>
      </c>
      <c r="D52">
        <v>2.58129735267702E-2</v>
      </c>
      <c r="E52">
        <v>3.9311573872134198</v>
      </c>
      <c r="F52">
        <v>0.65687072714044303</v>
      </c>
      <c r="G52">
        <v>3.1805100441608003E-2</v>
      </c>
      <c r="H52">
        <v>20.652999613895702</v>
      </c>
      <c r="I52">
        <v>15.453998403042601</v>
      </c>
      <c r="J52">
        <v>1</v>
      </c>
      <c r="K52">
        <v>35</v>
      </c>
      <c r="L52">
        <v>3.8082221620669698E-4</v>
      </c>
      <c r="M52" t="s">
        <v>78</v>
      </c>
    </row>
    <row r="53" spans="1:13" x14ac:dyDescent="0.2">
      <c r="A53" t="s">
        <v>19</v>
      </c>
      <c r="B53">
        <v>0.23418278693408601</v>
      </c>
      <c r="C53">
        <v>2.4389189973385E-2</v>
      </c>
      <c r="D53">
        <v>1.22323747370088E-2</v>
      </c>
      <c r="E53">
        <v>1.99382299003611</v>
      </c>
      <c r="F53">
        <v>0.62590809082251297</v>
      </c>
      <c r="G53">
        <v>1.08993270520294E-2</v>
      </c>
      <c r="H53">
        <v>57.426306031065899</v>
      </c>
      <c r="I53">
        <v>3.9753301155965</v>
      </c>
      <c r="J53">
        <v>1</v>
      </c>
      <c r="K53">
        <v>13</v>
      </c>
      <c r="L53">
        <v>6.7583454874405896E-2</v>
      </c>
      <c r="M53" t="s">
        <v>101</v>
      </c>
    </row>
    <row r="54" spans="1:13" x14ac:dyDescent="0.2">
      <c r="A54" t="s">
        <v>19</v>
      </c>
      <c r="B54">
        <v>7.7481545566027404E-2</v>
      </c>
      <c r="C54">
        <v>4.4399134390815102E-2</v>
      </c>
      <c r="D54">
        <v>2.7970631363413299E-2</v>
      </c>
      <c r="E54">
        <v>1.5873483088011699</v>
      </c>
      <c r="F54">
        <v>1.0361997435669299</v>
      </c>
      <c r="G54">
        <v>3.44711456470813E-2</v>
      </c>
      <c r="H54">
        <v>30.059916028774701</v>
      </c>
      <c r="I54">
        <v>2.51967465345398</v>
      </c>
      <c r="J54">
        <v>1</v>
      </c>
      <c r="K54">
        <v>30</v>
      </c>
      <c r="L54">
        <v>0.122919158011948</v>
      </c>
      <c r="M54" t="s">
        <v>102</v>
      </c>
    </row>
    <row r="55" spans="1:13" x14ac:dyDescent="0.2">
      <c r="A55" t="s">
        <v>19</v>
      </c>
      <c r="B55">
        <v>0.12123066558106101</v>
      </c>
      <c r="C55">
        <v>-3.6758202229918803E-2</v>
      </c>
      <c r="D55">
        <v>1.19140911749134E-2</v>
      </c>
      <c r="E55">
        <v>-3.0852711877274999</v>
      </c>
      <c r="F55">
        <v>0.54739004045575601</v>
      </c>
      <c r="G55">
        <v>1.8285081031172899E-2</v>
      </c>
      <c r="H55">
        <v>29.936429569141701</v>
      </c>
      <c r="I55">
        <v>9.5188983018214195</v>
      </c>
      <c r="J55">
        <v>1</v>
      </c>
      <c r="K55">
        <v>69</v>
      </c>
      <c r="L55">
        <v>2.9254655853783E-3</v>
      </c>
      <c r="M55" t="s">
        <v>103</v>
      </c>
    </row>
    <row r="56" spans="1:13" x14ac:dyDescent="0.2">
      <c r="A56" t="s">
        <v>19</v>
      </c>
      <c r="B56">
        <v>7.1820337870365202E-3</v>
      </c>
      <c r="C56">
        <v>-3.8160848739139E-3</v>
      </c>
      <c r="D56">
        <v>6.6153100135323602E-3</v>
      </c>
      <c r="E56">
        <v>-0.57685654430520605</v>
      </c>
      <c r="F56">
        <v>0.41402089376679801</v>
      </c>
      <c r="G56">
        <v>8.9142863539179006E-3</v>
      </c>
      <c r="H56">
        <v>46.4446482117811</v>
      </c>
      <c r="I56">
        <v>0.33276347270775802</v>
      </c>
      <c r="J56">
        <v>1</v>
      </c>
      <c r="K56">
        <v>46</v>
      </c>
      <c r="L56">
        <v>0.56684881951424704</v>
      </c>
      <c r="M56" t="s">
        <v>104</v>
      </c>
    </row>
    <row r="57" spans="1:13" x14ac:dyDescent="0.2">
      <c r="A57" t="s">
        <v>19</v>
      </c>
      <c r="B57">
        <v>0.109412720971466</v>
      </c>
      <c r="C57">
        <v>-1.3939249847715199E-2</v>
      </c>
      <c r="D57">
        <v>6.1364767305060004E-3</v>
      </c>
      <c r="E57">
        <v>-2.2715395918344501</v>
      </c>
      <c r="F57">
        <v>0.50607015056254101</v>
      </c>
      <c r="G57">
        <v>8.02029709683948E-3</v>
      </c>
      <c r="H57">
        <v>63.098678821008498</v>
      </c>
      <c r="I57">
        <v>5.1598921172714602</v>
      </c>
      <c r="J57">
        <v>1</v>
      </c>
      <c r="K57">
        <v>42</v>
      </c>
      <c r="L57">
        <v>2.83001997188181E-2</v>
      </c>
      <c r="M57" t="s">
        <v>105</v>
      </c>
    </row>
    <row r="58" spans="1:13" x14ac:dyDescent="0.2">
      <c r="A58" t="s">
        <v>20</v>
      </c>
      <c r="B58">
        <v>0.33163163782055599</v>
      </c>
      <c r="C58">
        <v>1.55907578212426E-2</v>
      </c>
      <c r="D58">
        <v>5.9153871252435502E-3</v>
      </c>
      <c r="E58">
        <v>2.63562764213858</v>
      </c>
      <c r="F58">
        <v>0.29403051239096301</v>
      </c>
      <c r="G58">
        <v>5.3843190437132503E-3</v>
      </c>
      <c r="H58">
        <v>54.608671960899997</v>
      </c>
      <c r="I58">
        <v>6.9465330680048902</v>
      </c>
      <c r="J58">
        <v>1</v>
      </c>
      <c r="K58">
        <v>14</v>
      </c>
      <c r="L58">
        <v>1.9570449791668099E-2</v>
      </c>
      <c r="M58" t="s">
        <v>76</v>
      </c>
    </row>
    <row r="59" spans="1:13" x14ac:dyDescent="0.2">
      <c r="A59" t="s">
        <v>20</v>
      </c>
      <c r="B59">
        <v>0.37426649688845498</v>
      </c>
      <c r="C59">
        <v>0.114671386554155</v>
      </c>
      <c r="D59">
        <v>2.5428446786080399E-2</v>
      </c>
      <c r="E59">
        <v>4.5095710138665099</v>
      </c>
      <c r="F59">
        <v>0.64527124461132201</v>
      </c>
      <c r="G59">
        <v>3.0834101788619301E-2</v>
      </c>
      <c r="H59">
        <v>20.9271944756143</v>
      </c>
      <c r="I59">
        <v>20.336230729104901</v>
      </c>
      <c r="J59">
        <v>1</v>
      </c>
      <c r="K59">
        <v>34</v>
      </c>
      <c r="L59" s="1">
        <v>7.3571418516555495E-5</v>
      </c>
      <c r="M59" t="s">
        <v>78</v>
      </c>
    </row>
    <row r="60" spans="1:13" x14ac:dyDescent="0.2">
      <c r="A60" t="s">
        <v>20</v>
      </c>
      <c r="B60">
        <v>0.110149772802117</v>
      </c>
      <c r="C60">
        <v>9.8412492229175193E-3</v>
      </c>
      <c r="D60">
        <v>8.0746975121200396E-3</v>
      </c>
      <c r="E60">
        <v>1.21877620903395</v>
      </c>
      <c r="F60">
        <v>0.63448943044177497</v>
      </c>
      <c r="G60">
        <v>7.0713882026198797E-3</v>
      </c>
      <c r="H60">
        <v>89.726290264576804</v>
      </c>
      <c r="I60">
        <v>1.48541544770709</v>
      </c>
      <c r="J60">
        <v>1</v>
      </c>
      <c r="K60">
        <v>12</v>
      </c>
      <c r="L60">
        <v>0.24634688232851501</v>
      </c>
      <c r="M60" t="s">
        <v>101</v>
      </c>
    </row>
    <row r="61" spans="1:13" x14ac:dyDescent="0.2">
      <c r="A61" t="s">
        <v>20</v>
      </c>
      <c r="B61">
        <v>3.7503306972945398E-2</v>
      </c>
      <c r="C61">
        <v>3.02160352829389E-2</v>
      </c>
      <c r="D61">
        <v>2.84251863584223E-2</v>
      </c>
      <c r="E61">
        <v>1.0630021876351201</v>
      </c>
      <c r="F61">
        <v>1.0736773775369499</v>
      </c>
      <c r="G61">
        <v>3.4591104835079003E-2</v>
      </c>
      <c r="H61">
        <v>31.039117792159502</v>
      </c>
      <c r="I61">
        <v>1.1299736509170999</v>
      </c>
      <c r="J61">
        <v>1</v>
      </c>
      <c r="K61">
        <v>29</v>
      </c>
      <c r="L61">
        <v>0.2965530118352</v>
      </c>
      <c r="M61" t="s">
        <v>102</v>
      </c>
    </row>
    <row r="62" spans="1:13" x14ac:dyDescent="0.2">
      <c r="A62" t="s">
        <v>20</v>
      </c>
      <c r="B62">
        <v>0.23058448206004001</v>
      </c>
      <c r="C62">
        <v>-5.8417922447779699E-2</v>
      </c>
      <c r="D62">
        <v>1.26643342893656E-2</v>
      </c>
      <c r="E62">
        <v>-4.6127906223095998</v>
      </c>
      <c r="F62">
        <v>0.58593211175997995</v>
      </c>
      <c r="G62">
        <v>1.93752176016403E-2</v>
      </c>
      <c r="H62">
        <v>30.241317739336001</v>
      </c>
      <c r="I62">
        <v>21.277837325267399</v>
      </c>
      <c r="J62">
        <v>1</v>
      </c>
      <c r="K62">
        <v>71</v>
      </c>
      <c r="L62" s="1">
        <v>1.71419791150378E-5</v>
      </c>
      <c r="M62" t="s">
        <v>103</v>
      </c>
    </row>
    <row r="63" spans="1:13" x14ac:dyDescent="0.2">
      <c r="A63" t="s">
        <v>20</v>
      </c>
      <c r="B63">
        <v>2.6746568939209601E-2</v>
      </c>
      <c r="C63">
        <v>-7.1868750614048904E-3</v>
      </c>
      <c r="D63">
        <v>6.7705990999642404E-3</v>
      </c>
      <c r="E63">
        <v>-1.06148288434961</v>
      </c>
      <c r="F63">
        <v>0.421227768636385</v>
      </c>
      <c r="G63">
        <v>8.7540378607660202E-3</v>
      </c>
      <c r="H63">
        <v>48.118111360272898</v>
      </c>
      <c r="I63">
        <v>1.1267459137671401</v>
      </c>
      <c r="J63">
        <v>1</v>
      </c>
      <c r="K63">
        <v>41</v>
      </c>
      <c r="L63">
        <v>0.29468338058474602</v>
      </c>
      <c r="M63" t="s">
        <v>104</v>
      </c>
    </row>
    <row r="64" spans="1:13" x14ac:dyDescent="0.2">
      <c r="A64" t="s">
        <v>20</v>
      </c>
      <c r="B64">
        <v>0.27715910913634501</v>
      </c>
      <c r="C64">
        <v>-2.47435157708032E-2</v>
      </c>
      <c r="D64">
        <v>6.3181246549610997E-3</v>
      </c>
      <c r="E64">
        <v>-3.91627533834335</v>
      </c>
      <c r="F64">
        <v>0.52114967911474797</v>
      </c>
      <c r="G64">
        <v>8.1245014295035101E-3</v>
      </c>
      <c r="H64">
        <v>64.145435093682394</v>
      </c>
      <c r="I64">
        <v>15.337212525716</v>
      </c>
      <c r="J64">
        <v>1</v>
      </c>
      <c r="K64">
        <v>40</v>
      </c>
      <c r="L64">
        <v>3.4187746247025998E-4</v>
      </c>
      <c r="M64" t="s">
        <v>105</v>
      </c>
    </row>
    <row r="65" spans="1:13" x14ac:dyDescent="0.2">
      <c r="A65" t="s">
        <v>21</v>
      </c>
      <c r="B65">
        <v>0.26430137483009097</v>
      </c>
      <c r="C65">
        <v>1.16660616756176E-2</v>
      </c>
      <c r="D65">
        <v>5.3982482553365397E-3</v>
      </c>
      <c r="E65">
        <v>2.16108284091694</v>
      </c>
      <c r="F65">
        <v>0.29686577557261001</v>
      </c>
      <c r="G65">
        <v>4.8452067103560903E-3</v>
      </c>
      <c r="H65">
        <v>61.269991832978398</v>
      </c>
      <c r="I65">
        <v>4.6702790453056204</v>
      </c>
      <c r="J65">
        <v>1</v>
      </c>
      <c r="K65">
        <v>13</v>
      </c>
      <c r="L65">
        <v>4.99347512832252E-2</v>
      </c>
      <c r="M65" t="s">
        <v>76</v>
      </c>
    </row>
    <row r="66" spans="1:13" x14ac:dyDescent="0.2">
      <c r="A66" t="s">
        <v>21</v>
      </c>
      <c r="B66">
        <v>0.33900112209792599</v>
      </c>
      <c r="C66">
        <v>0.100814595654699</v>
      </c>
      <c r="D66">
        <v>2.4505650534532498E-2</v>
      </c>
      <c r="E66">
        <v>4.1139326422954898</v>
      </c>
      <c r="F66">
        <v>0.66455338167498401</v>
      </c>
      <c r="G66">
        <v>3.0094207154384E-2</v>
      </c>
      <c r="H66">
        <v>22.0824352761915</v>
      </c>
      <c r="I66">
        <v>16.9244417853443</v>
      </c>
      <c r="J66">
        <v>1</v>
      </c>
      <c r="K66">
        <v>33</v>
      </c>
      <c r="L66">
        <v>2.4320850876814599E-4</v>
      </c>
      <c r="M66" t="s">
        <v>78</v>
      </c>
    </row>
    <row r="67" spans="1:13" x14ac:dyDescent="0.2">
      <c r="A67" t="s">
        <v>21</v>
      </c>
      <c r="B67">
        <v>0.26662145635393902</v>
      </c>
      <c r="C67">
        <v>1.58944274369257E-2</v>
      </c>
      <c r="D67">
        <v>7.3112185050278802E-3</v>
      </c>
      <c r="E67">
        <v>2.1739778979379598</v>
      </c>
      <c r="F67">
        <v>0.63160801978511105</v>
      </c>
      <c r="G67">
        <v>6.5109393210501503E-3</v>
      </c>
      <c r="H67">
        <v>97.007204128457204</v>
      </c>
      <c r="I67">
        <v>4.7261799007225704</v>
      </c>
      <c r="J67">
        <v>1</v>
      </c>
      <c r="K67">
        <v>13</v>
      </c>
      <c r="L67">
        <v>4.87702786832016E-2</v>
      </c>
      <c r="M67" t="s">
        <v>101</v>
      </c>
    </row>
    <row r="68" spans="1:13" x14ac:dyDescent="0.2">
      <c r="A68" t="s">
        <v>21</v>
      </c>
      <c r="B68">
        <v>0.16994051871364799</v>
      </c>
      <c r="C68">
        <v>5.7316075300608303E-2</v>
      </c>
      <c r="D68">
        <v>2.3938865598262599E-2</v>
      </c>
      <c r="E68">
        <v>2.3942686450759898</v>
      </c>
      <c r="F68">
        <v>1.03785095224738</v>
      </c>
      <c r="G68">
        <v>2.8816307169991399E-2</v>
      </c>
      <c r="H68">
        <v>36.016098319779502</v>
      </c>
      <c r="I68">
        <v>5.7325223447940097</v>
      </c>
      <c r="J68">
        <v>1</v>
      </c>
      <c r="K68">
        <v>28</v>
      </c>
      <c r="L68">
        <v>2.3591964893348999E-2</v>
      </c>
      <c r="M68" t="s">
        <v>102</v>
      </c>
    </row>
    <row r="69" spans="1:13" x14ac:dyDescent="0.2">
      <c r="A69" t="s">
        <v>21</v>
      </c>
      <c r="B69">
        <v>6.2751088486471096E-2</v>
      </c>
      <c r="C69">
        <v>-3.1177881294769599E-2</v>
      </c>
      <c r="D69">
        <v>1.48317184275953E-2</v>
      </c>
      <c r="E69">
        <v>-2.10210849450602</v>
      </c>
      <c r="F69">
        <v>0.53801623500220697</v>
      </c>
      <c r="G69">
        <v>2.2359542588288098E-2</v>
      </c>
      <c r="H69">
        <v>24.062041201326601</v>
      </c>
      <c r="I69">
        <v>4.4188601226743698</v>
      </c>
      <c r="J69">
        <v>1</v>
      </c>
      <c r="K69">
        <v>66</v>
      </c>
      <c r="L69">
        <v>3.93633614971153E-2</v>
      </c>
      <c r="M69" t="s">
        <v>103</v>
      </c>
    </row>
    <row r="70" spans="1:13" x14ac:dyDescent="0.2">
      <c r="A70" t="s">
        <v>21</v>
      </c>
      <c r="B70">
        <v>6.96982530779355E-3</v>
      </c>
      <c r="C70">
        <v>-3.4636402164286398E-3</v>
      </c>
      <c r="D70">
        <v>6.3793790021521796E-3</v>
      </c>
      <c r="E70">
        <v>-0.542943163474082</v>
      </c>
      <c r="F70">
        <v>0.41224247873724801</v>
      </c>
      <c r="G70">
        <v>8.3845680123384898E-3</v>
      </c>
      <c r="H70">
        <v>49.1668119491193</v>
      </c>
      <c r="I70">
        <v>0.29478727876326899</v>
      </c>
      <c r="J70">
        <v>1</v>
      </c>
      <c r="K70">
        <v>42</v>
      </c>
      <c r="L70">
        <v>0.59003887590703696</v>
      </c>
      <c r="M70" t="s">
        <v>104</v>
      </c>
    </row>
    <row r="71" spans="1:13" x14ac:dyDescent="0.2">
      <c r="A71" t="s">
        <v>21</v>
      </c>
      <c r="B71">
        <v>4.7523662241923503E-2</v>
      </c>
      <c r="C71">
        <v>-1.1186755162053899E-2</v>
      </c>
      <c r="D71">
        <v>8.0194387899564807E-3</v>
      </c>
      <c r="E71">
        <v>-1.3949548659270401</v>
      </c>
      <c r="F71">
        <v>0.50263702850743497</v>
      </c>
      <c r="G71">
        <v>1.03704551650722E-2</v>
      </c>
      <c r="H71">
        <v>48.468174299650997</v>
      </c>
      <c r="I71">
        <v>1.9458990779734999</v>
      </c>
      <c r="J71">
        <v>1</v>
      </c>
      <c r="K71">
        <v>39</v>
      </c>
      <c r="L71">
        <v>0.17092379295702101</v>
      </c>
      <c r="M71" t="s">
        <v>105</v>
      </c>
    </row>
    <row r="72" spans="1:13" x14ac:dyDescent="0.2">
      <c r="A72" t="s">
        <v>22</v>
      </c>
      <c r="B72">
        <v>0.15568238831001499</v>
      </c>
      <c r="C72">
        <v>9.0147851412271506E-3</v>
      </c>
      <c r="D72">
        <v>5.6107968410012204E-3</v>
      </c>
      <c r="E72">
        <v>1.6066853597961499</v>
      </c>
      <c r="F72">
        <v>0.29855057537748803</v>
      </c>
      <c r="G72">
        <v>5.2883688534466301E-3</v>
      </c>
      <c r="H72">
        <v>56.4541891178621</v>
      </c>
      <c r="I72">
        <v>2.58143784538336</v>
      </c>
      <c r="J72">
        <v>1</v>
      </c>
      <c r="K72">
        <v>14</v>
      </c>
      <c r="L72">
        <v>0.13043584156869001</v>
      </c>
      <c r="M72" t="s">
        <v>76</v>
      </c>
    </row>
    <row r="73" spans="1:13" x14ac:dyDescent="0.2">
      <c r="A73" t="s">
        <v>22</v>
      </c>
      <c r="B73">
        <v>0.20506199192406799</v>
      </c>
      <c r="C73">
        <v>8.0524377138737002E-2</v>
      </c>
      <c r="D73">
        <v>2.7599070099199902E-2</v>
      </c>
      <c r="E73">
        <v>2.91764819790329</v>
      </c>
      <c r="F73">
        <v>0.68279798592996599</v>
      </c>
      <c r="G73">
        <v>3.3800346411738402E-2</v>
      </c>
      <c r="H73">
        <v>20.200916807552002</v>
      </c>
      <c r="I73">
        <v>8.5126710067281994</v>
      </c>
      <c r="J73">
        <v>1</v>
      </c>
      <c r="K73">
        <v>33</v>
      </c>
      <c r="L73">
        <v>6.3031199852005299E-3</v>
      </c>
      <c r="M73" t="s">
        <v>78</v>
      </c>
    </row>
    <row r="74" spans="1:13" x14ac:dyDescent="0.2">
      <c r="A74" t="s">
        <v>22</v>
      </c>
      <c r="B74">
        <v>0.11970389875213901</v>
      </c>
      <c r="C74">
        <v>2.3975168387191902E-2</v>
      </c>
      <c r="D74">
        <v>1.7376323351029999E-2</v>
      </c>
      <c r="E74">
        <v>1.37976071824024</v>
      </c>
      <c r="F74">
        <v>0.62711885898025699</v>
      </c>
      <c r="G74">
        <v>1.60405292266383E-2</v>
      </c>
      <c r="H74">
        <v>39.095895784960099</v>
      </c>
      <c r="I74">
        <v>1.9037396395989199</v>
      </c>
      <c r="J74">
        <v>1</v>
      </c>
      <c r="K74">
        <v>14</v>
      </c>
      <c r="L74">
        <v>0.189299504598198</v>
      </c>
      <c r="M74" t="s">
        <v>101</v>
      </c>
    </row>
    <row r="75" spans="1:13" x14ac:dyDescent="0.2">
      <c r="A75" t="s">
        <v>22</v>
      </c>
      <c r="B75">
        <v>0.14488714150946699</v>
      </c>
      <c r="C75">
        <v>5.2766405973221603E-2</v>
      </c>
      <c r="D75">
        <v>2.30236123270527E-2</v>
      </c>
      <c r="E75">
        <v>2.2918387099152699</v>
      </c>
      <c r="F75">
        <v>1.03890014532824</v>
      </c>
      <c r="G75">
        <v>2.8419770211826401E-2</v>
      </c>
      <c r="H75">
        <v>36.5555434679735</v>
      </c>
      <c r="I75">
        <v>5.2525246722660697</v>
      </c>
      <c r="J75">
        <v>1</v>
      </c>
      <c r="K75">
        <v>31</v>
      </c>
      <c r="L75">
        <v>2.88661811820261E-2</v>
      </c>
      <c r="M75" t="s">
        <v>102</v>
      </c>
    </row>
    <row r="76" spans="1:13" x14ac:dyDescent="0.2">
      <c r="A76" t="s">
        <v>22</v>
      </c>
      <c r="B76">
        <v>3.3167821138017E-4</v>
      </c>
      <c r="C76">
        <v>1.99944789984254E-3</v>
      </c>
      <c r="D76">
        <v>1.30271799232759E-2</v>
      </c>
      <c r="E76">
        <v>0.15348278841763</v>
      </c>
      <c r="F76">
        <v>0.48567590644296899</v>
      </c>
      <c r="G76">
        <v>1.99509315539503E-2</v>
      </c>
      <c r="H76">
        <v>24.343520257669599</v>
      </c>
      <c r="I76">
        <v>2.35569663404534E-2</v>
      </c>
      <c r="J76">
        <v>1</v>
      </c>
      <c r="K76">
        <v>71</v>
      </c>
      <c r="L76">
        <v>0.87845296083447599</v>
      </c>
      <c r="M76" t="s">
        <v>103</v>
      </c>
    </row>
    <row r="77" spans="1:13" x14ac:dyDescent="0.2">
      <c r="A77" t="s">
        <v>22</v>
      </c>
      <c r="B77">
        <v>9.8883842891528698E-2</v>
      </c>
      <c r="C77">
        <v>-1.49101176503221E-2</v>
      </c>
      <c r="D77">
        <v>6.8639571385163897E-3</v>
      </c>
      <c r="E77">
        <v>-2.1722335016714398</v>
      </c>
      <c r="F77">
        <v>0.42424268849886299</v>
      </c>
      <c r="G77">
        <v>9.0082891245995105E-3</v>
      </c>
      <c r="H77">
        <v>47.094701627677097</v>
      </c>
      <c r="I77">
        <v>4.7185983857837996</v>
      </c>
      <c r="J77">
        <v>1</v>
      </c>
      <c r="K77">
        <v>43</v>
      </c>
      <c r="L77">
        <v>3.5397341240534501E-2</v>
      </c>
      <c r="M77" t="s">
        <v>104</v>
      </c>
    </row>
    <row r="78" spans="1:13" x14ac:dyDescent="0.2">
      <c r="A78" t="s">
        <v>22</v>
      </c>
      <c r="B78">
        <v>0.19264044397977301</v>
      </c>
      <c r="C78">
        <v>-1.8845218858191602E-2</v>
      </c>
      <c r="D78">
        <v>5.81613672070053E-3</v>
      </c>
      <c r="E78">
        <v>-3.2401609114721301</v>
      </c>
      <c r="F78">
        <v>0.51223563233296598</v>
      </c>
      <c r="G78">
        <v>7.6822749711618604E-3</v>
      </c>
      <c r="H78">
        <v>66.677596708764497</v>
      </c>
      <c r="I78">
        <v>10.4986427322322</v>
      </c>
      <c r="J78">
        <v>1</v>
      </c>
      <c r="K78">
        <v>44</v>
      </c>
      <c r="L78">
        <v>2.2779218984393902E-3</v>
      </c>
      <c r="M78" t="s">
        <v>105</v>
      </c>
    </row>
    <row r="79" spans="1:13" x14ac:dyDescent="0.2">
      <c r="A79" t="s">
        <v>23</v>
      </c>
      <c r="B79">
        <v>0.39318916800929199</v>
      </c>
      <c r="C79">
        <v>1.5681918769270199E-2</v>
      </c>
      <c r="D79">
        <v>5.4032294902474501E-3</v>
      </c>
      <c r="E79">
        <v>2.9023232860227801</v>
      </c>
      <c r="F79">
        <v>0.29450477060671598</v>
      </c>
      <c r="G79">
        <v>4.8568532087467798E-3</v>
      </c>
      <c r="H79">
        <v>60.636951118130902</v>
      </c>
      <c r="I79">
        <v>8.4234804565899299</v>
      </c>
      <c r="J79">
        <v>1</v>
      </c>
      <c r="K79">
        <v>13</v>
      </c>
      <c r="L79">
        <v>1.2352705784032801E-2</v>
      </c>
      <c r="M79" t="s">
        <v>76</v>
      </c>
    </row>
    <row r="80" spans="1:13" x14ac:dyDescent="0.2">
      <c r="A80" t="s">
        <v>23</v>
      </c>
      <c r="B80">
        <v>0.33114876369818802</v>
      </c>
      <c r="C80">
        <v>0.104575743995362</v>
      </c>
      <c r="D80">
        <v>2.6272970121674299E-2</v>
      </c>
      <c r="E80">
        <v>3.98035484800748</v>
      </c>
      <c r="F80">
        <v>0.65750231801877002</v>
      </c>
      <c r="G80">
        <v>3.1959522209991501E-2</v>
      </c>
      <c r="H80">
        <v>20.572970825365299</v>
      </c>
      <c r="I80">
        <v>15.843224716056801</v>
      </c>
      <c r="J80">
        <v>1</v>
      </c>
      <c r="K80">
        <v>32</v>
      </c>
      <c r="L80">
        <v>3.7009851880084399E-4</v>
      </c>
      <c r="M80" t="s">
        <v>78</v>
      </c>
    </row>
    <row r="81" spans="1:13" x14ac:dyDescent="0.2">
      <c r="A81" t="s">
        <v>23</v>
      </c>
      <c r="B81">
        <v>5.3533319109263997E-3</v>
      </c>
      <c r="C81">
        <v>1.78450567939411E-3</v>
      </c>
      <c r="D81">
        <v>7.0218191870714498E-3</v>
      </c>
      <c r="E81">
        <v>0.25413723023226398</v>
      </c>
      <c r="F81">
        <v>0.64320980894594504</v>
      </c>
      <c r="G81">
        <v>6.13355220632039E-3</v>
      </c>
      <c r="H81">
        <v>104.86742222282599</v>
      </c>
      <c r="I81">
        <v>6.4585731790099202E-2</v>
      </c>
      <c r="J81">
        <v>1</v>
      </c>
      <c r="K81">
        <v>12</v>
      </c>
      <c r="L81">
        <v>0.80369194785119802</v>
      </c>
      <c r="M81" t="s">
        <v>101</v>
      </c>
    </row>
    <row r="82" spans="1:13" x14ac:dyDescent="0.2">
      <c r="A82" t="s">
        <v>23</v>
      </c>
      <c r="B82">
        <v>0.16162575074744601</v>
      </c>
      <c r="C82">
        <v>6.5053479674643505E-2</v>
      </c>
      <c r="D82">
        <v>2.7512827192198899E-2</v>
      </c>
      <c r="E82">
        <v>2.3644781839464701</v>
      </c>
      <c r="F82">
        <v>1.01882803999975</v>
      </c>
      <c r="G82">
        <v>3.3504264209590302E-2</v>
      </c>
      <c r="H82">
        <v>30.4089065686189</v>
      </c>
      <c r="I82">
        <v>5.5907570823587696</v>
      </c>
      <c r="J82">
        <v>1</v>
      </c>
      <c r="K82">
        <v>29</v>
      </c>
      <c r="L82">
        <v>2.4964449926715E-2</v>
      </c>
      <c r="M82" t="s">
        <v>102</v>
      </c>
    </row>
    <row r="83" spans="1:13" x14ac:dyDescent="0.2">
      <c r="A83" t="s">
        <v>23</v>
      </c>
      <c r="B83">
        <v>0.22988868024058901</v>
      </c>
      <c r="C83">
        <v>-5.4269644314256599E-2</v>
      </c>
      <c r="D83">
        <v>1.17881529150454E-2</v>
      </c>
      <c r="E83">
        <v>-4.6037445141207103</v>
      </c>
      <c r="F83">
        <v>0.57271768743437701</v>
      </c>
      <c r="G83">
        <v>1.8314787363862699E-2</v>
      </c>
      <c r="H83">
        <v>31.270780056361399</v>
      </c>
      <c r="I83">
        <v>21.1944635512967</v>
      </c>
      <c r="J83">
        <v>1</v>
      </c>
      <c r="K83">
        <v>71</v>
      </c>
      <c r="L83" s="1">
        <v>1.7725092700582301E-5</v>
      </c>
      <c r="M83" t="s">
        <v>103</v>
      </c>
    </row>
    <row r="84" spans="1:13" x14ac:dyDescent="0.2">
      <c r="A84" t="s">
        <v>23</v>
      </c>
      <c r="B84">
        <v>1.9551357174139299E-2</v>
      </c>
      <c r="C84">
        <v>-5.7768782478575297E-3</v>
      </c>
      <c r="D84">
        <v>6.23853989561829E-3</v>
      </c>
      <c r="E84">
        <v>-0.92599844587272495</v>
      </c>
      <c r="F84">
        <v>0.414044971035958</v>
      </c>
      <c r="G84">
        <v>8.2205894215340303E-3</v>
      </c>
      <c r="H84">
        <v>50.366822840143001</v>
      </c>
      <c r="I84">
        <v>0.85747312175872004</v>
      </c>
      <c r="J84">
        <v>1</v>
      </c>
      <c r="K84">
        <v>43</v>
      </c>
      <c r="L84">
        <v>0.359614977461925</v>
      </c>
      <c r="M84" t="s">
        <v>104</v>
      </c>
    </row>
    <row r="85" spans="1:13" x14ac:dyDescent="0.2">
      <c r="A85" t="s">
        <v>23</v>
      </c>
      <c r="B85">
        <v>2.4908778948271201E-2</v>
      </c>
      <c r="C85">
        <v>-6.4658942768699001E-3</v>
      </c>
      <c r="D85">
        <v>6.3965383425476302E-3</v>
      </c>
      <c r="E85">
        <v>-1.0108427293964499</v>
      </c>
      <c r="F85">
        <v>0.49354282007240402</v>
      </c>
      <c r="G85">
        <v>8.2993080247849692E-3</v>
      </c>
      <c r="H85">
        <v>59.467948243214003</v>
      </c>
      <c r="I85">
        <v>1.0218030235737201</v>
      </c>
      <c r="J85">
        <v>1</v>
      </c>
      <c r="K85">
        <v>40</v>
      </c>
      <c r="L85">
        <v>0.31816756777844202</v>
      </c>
      <c r="M85" t="s">
        <v>105</v>
      </c>
    </row>
    <row r="86" spans="1:13" x14ac:dyDescent="0.2">
      <c r="A86" t="s">
        <v>24</v>
      </c>
      <c r="B86">
        <v>0.186893180306763</v>
      </c>
      <c r="C86">
        <v>1.10678651452996E-2</v>
      </c>
      <c r="D86">
        <v>6.9605665633437298E-3</v>
      </c>
      <c r="E86">
        <v>1.5900810723635701</v>
      </c>
      <c r="F86">
        <v>0.296680235434365</v>
      </c>
      <c r="G86">
        <v>6.0185775646573597E-3</v>
      </c>
      <c r="H86">
        <v>49.294078583708497</v>
      </c>
      <c r="I86">
        <v>2.5283578166888399</v>
      </c>
      <c r="J86">
        <v>1</v>
      </c>
      <c r="K86">
        <v>11</v>
      </c>
      <c r="L86">
        <v>0.14012381515000799</v>
      </c>
      <c r="M86" t="s">
        <v>76</v>
      </c>
    </row>
    <row r="87" spans="1:13" x14ac:dyDescent="0.2">
      <c r="A87" t="s">
        <v>24</v>
      </c>
      <c r="B87">
        <v>0.28273557088121898</v>
      </c>
      <c r="C87">
        <v>9.5588300757897898E-2</v>
      </c>
      <c r="D87">
        <v>2.5734761090627899E-2</v>
      </c>
      <c r="E87">
        <v>3.7143651896076602</v>
      </c>
      <c r="F87">
        <v>0.66166458466426903</v>
      </c>
      <c r="G87">
        <v>3.1859589087285797E-2</v>
      </c>
      <c r="H87">
        <v>20.7681455919443</v>
      </c>
      <c r="I87">
        <v>13.7965087617692</v>
      </c>
      <c r="J87">
        <v>1</v>
      </c>
      <c r="K87">
        <v>35</v>
      </c>
      <c r="L87">
        <v>7.0709059063292197E-4</v>
      </c>
      <c r="M87" t="s">
        <v>78</v>
      </c>
    </row>
    <row r="88" spans="1:13" x14ac:dyDescent="0.2">
      <c r="A88" t="s">
        <v>24</v>
      </c>
      <c r="B88">
        <v>0.194149163825382</v>
      </c>
      <c r="C88">
        <v>2.1828105853535101E-2</v>
      </c>
      <c r="D88">
        <v>1.23339999764377E-2</v>
      </c>
      <c r="E88">
        <v>1.7697507617346</v>
      </c>
      <c r="F88">
        <v>0.62587881769067899</v>
      </c>
      <c r="G88">
        <v>1.1031098089017701E-2</v>
      </c>
      <c r="H88">
        <v>56.737671321569302</v>
      </c>
      <c r="I88">
        <v>3.1320177586600702</v>
      </c>
      <c r="J88">
        <v>1</v>
      </c>
      <c r="K88">
        <v>13</v>
      </c>
      <c r="L88">
        <v>0.100204096281116</v>
      </c>
      <c r="M88" t="s">
        <v>101</v>
      </c>
    </row>
    <row r="89" spans="1:13" x14ac:dyDescent="0.2">
      <c r="A89" t="s">
        <v>24</v>
      </c>
      <c r="B89">
        <v>6.6755820921297906E-2</v>
      </c>
      <c r="C89">
        <v>4.4603774120293899E-2</v>
      </c>
      <c r="D89">
        <v>3.0448370454082E-2</v>
      </c>
      <c r="E89">
        <v>1.4648985628823401</v>
      </c>
      <c r="F89">
        <v>1.0389170863544901</v>
      </c>
      <c r="G89">
        <v>3.7473831823437803E-2</v>
      </c>
      <c r="H89">
        <v>27.7238018052029</v>
      </c>
      <c r="I89">
        <v>2.1459277995347099</v>
      </c>
      <c r="J89">
        <v>1</v>
      </c>
      <c r="K89">
        <v>30</v>
      </c>
      <c r="L89">
        <v>0.15335082197479899</v>
      </c>
      <c r="M89" t="s">
        <v>102</v>
      </c>
    </row>
    <row r="90" spans="1:13" x14ac:dyDescent="0.2">
      <c r="A90" t="s">
        <v>24</v>
      </c>
      <c r="B90">
        <v>0.117774781094171</v>
      </c>
      <c r="C90">
        <v>-3.5644370159432302E-2</v>
      </c>
      <c r="D90">
        <v>1.16601867541183E-2</v>
      </c>
      <c r="E90">
        <v>-3.05692961108387</v>
      </c>
      <c r="F90">
        <v>0.54601216878528502</v>
      </c>
      <c r="G90">
        <v>1.78601931443861E-2</v>
      </c>
      <c r="H90">
        <v>30.571459354957302</v>
      </c>
      <c r="I90">
        <v>9.3448186471214001</v>
      </c>
      <c r="J90">
        <v>1</v>
      </c>
      <c r="K90">
        <v>70</v>
      </c>
      <c r="L90">
        <v>3.16507608839133E-3</v>
      </c>
      <c r="M90" t="s">
        <v>103</v>
      </c>
    </row>
    <row r="91" spans="1:13" x14ac:dyDescent="0.2">
      <c r="A91" t="s">
        <v>24</v>
      </c>
      <c r="B91">
        <v>1.50487606122311E-2</v>
      </c>
      <c r="C91">
        <v>5.6509897556797899E-3</v>
      </c>
      <c r="D91">
        <v>6.7406628092018398E-3</v>
      </c>
      <c r="E91">
        <v>0.83834333738894196</v>
      </c>
      <c r="F91">
        <v>0.39991661159126102</v>
      </c>
      <c r="G91">
        <v>9.0355587203217701E-3</v>
      </c>
      <c r="H91">
        <v>44.260307964333599</v>
      </c>
      <c r="I91">
        <v>0.70281955134440799</v>
      </c>
      <c r="J91">
        <v>1</v>
      </c>
      <c r="K91">
        <v>46</v>
      </c>
      <c r="L91">
        <v>0.40617315864619602</v>
      </c>
      <c r="M91" t="s">
        <v>104</v>
      </c>
    </row>
    <row r="92" spans="1:13" x14ac:dyDescent="0.2">
      <c r="A92" t="s">
        <v>24</v>
      </c>
      <c r="B92">
        <v>4.0726921137437498E-2</v>
      </c>
      <c r="C92">
        <v>-8.4687799775721804E-3</v>
      </c>
      <c r="D92">
        <v>6.3420044601036401E-3</v>
      </c>
      <c r="E92">
        <v>-1.3353475278750899</v>
      </c>
      <c r="F92">
        <v>0.50007089032628105</v>
      </c>
      <c r="G92">
        <v>8.29439717339139E-3</v>
      </c>
      <c r="H92">
        <v>60.2902031181385</v>
      </c>
      <c r="I92">
        <v>1.78315302020213</v>
      </c>
      <c r="J92">
        <v>1</v>
      </c>
      <c r="K92">
        <v>42</v>
      </c>
      <c r="L92">
        <v>0.18895507520471599</v>
      </c>
      <c r="M92" t="s">
        <v>105</v>
      </c>
    </row>
    <row r="93" spans="1:13" x14ac:dyDescent="0.2">
      <c r="A93" t="s">
        <v>25</v>
      </c>
      <c r="B93">
        <v>0.23592767663890801</v>
      </c>
      <c r="C93">
        <v>1.22082361848154E-2</v>
      </c>
      <c r="D93">
        <v>6.0933908413104802E-3</v>
      </c>
      <c r="E93">
        <v>2.0035209463422201</v>
      </c>
      <c r="F93">
        <v>0.29640775861386798</v>
      </c>
      <c r="G93">
        <v>5.5157040139466396E-3</v>
      </c>
      <c r="H93">
        <v>53.738880451958799</v>
      </c>
      <c r="I93">
        <v>4.0140961824321302</v>
      </c>
      <c r="J93">
        <v>1</v>
      </c>
      <c r="K93">
        <v>13</v>
      </c>
      <c r="L93">
        <v>6.6420155969220004E-2</v>
      </c>
      <c r="M93" t="s">
        <v>76</v>
      </c>
    </row>
    <row r="94" spans="1:13" x14ac:dyDescent="0.2">
      <c r="A94" t="s">
        <v>25</v>
      </c>
      <c r="B94">
        <v>0.23232315232658499</v>
      </c>
      <c r="C94">
        <v>7.7330960638461704E-2</v>
      </c>
      <c r="D94">
        <v>2.4470306596066901E-2</v>
      </c>
      <c r="E94">
        <v>3.1601958207949501</v>
      </c>
      <c r="F94">
        <v>0.68638594105509199</v>
      </c>
      <c r="G94">
        <v>2.97787704965842E-2</v>
      </c>
      <c r="H94">
        <v>23.049505725356401</v>
      </c>
      <c r="I94">
        <v>9.9868376257698905</v>
      </c>
      <c r="J94">
        <v>1</v>
      </c>
      <c r="K94">
        <v>33</v>
      </c>
      <c r="L94">
        <v>3.3681286963336702E-3</v>
      </c>
      <c r="M94" t="s">
        <v>78</v>
      </c>
    </row>
    <row r="95" spans="1:13" x14ac:dyDescent="0.2">
      <c r="A95" t="s">
        <v>25</v>
      </c>
      <c r="B95">
        <v>0.27955623842141603</v>
      </c>
      <c r="C95">
        <v>2.6405850835266802E-2</v>
      </c>
      <c r="D95">
        <v>1.1756930149358099E-2</v>
      </c>
      <c r="E95">
        <v>2.2459817741375701</v>
      </c>
      <c r="F95">
        <v>0.62494852246729504</v>
      </c>
      <c r="G95">
        <v>1.04900875094234E-2</v>
      </c>
      <c r="H95">
        <v>59.575148625394498</v>
      </c>
      <c r="I95">
        <v>5.0444341297582298</v>
      </c>
      <c r="J95">
        <v>1</v>
      </c>
      <c r="K95">
        <v>13</v>
      </c>
      <c r="L95">
        <v>4.2723157318797597E-2</v>
      </c>
      <c r="M95" t="s">
        <v>101</v>
      </c>
    </row>
    <row r="96" spans="1:13" x14ac:dyDescent="0.2">
      <c r="A96" t="s">
        <v>25</v>
      </c>
      <c r="B96">
        <v>0.104743152349713</v>
      </c>
      <c r="C96">
        <v>4.90475143427343E-2</v>
      </c>
      <c r="D96">
        <v>2.6179863697680598E-2</v>
      </c>
      <c r="E96">
        <v>1.87348241798064</v>
      </c>
      <c r="F96">
        <v>1.0424943446375901</v>
      </c>
      <c r="G96">
        <v>3.2209512791798997E-2</v>
      </c>
      <c r="H96">
        <v>32.3660389207447</v>
      </c>
      <c r="I96">
        <v>3.5099363704826398</v>
      </c>
      <c r="J96">
        <v>1</v>
      </c>
      <c r="K96">
        <v>30</v>
      </c>
      <c r="L96">
        <v>7.0773258657950894E-2</v>
      </c>
      <c r="M96" t="s">
        <v>102</v>
      </c>
    </row>
    <row r="97" spans="1:13" x14ac:dyDescent="0.2">
      <c r="A97" t="s">
        <v>25</v>
      </c>
      <c r="B97">
        <v>3.0310620873013901E-2</v>
      </c>
      <c r="C97">
        <v>-1.7462909093691598E-2</v>
      </c>
      <c r="D97">
        <v>1.17221242947985E-2</v>
      </c>
      <c r="E97">
        <v>-1.48973928739524</v>
      </c>
      <c r="F97">
        <v>0.51522258706505497</v>
      </c>
      <c r="G97">
        <v>1.8113454770657199E-2</v>
      </c>
      <c r="H97">
        <v>28.444192098554598</v>
      </c>
      <c r="I97">
        <v>2.2193231444088699</v>
      </c>
      <c r="J97">
        <v>1</v>
      </c>
      <c r="K97">
        <v>71</v>
      </c>
      <c r="L97">
        <v>0.14072185685416799</v>
      </c>
      <c r="M97" t="s">
        <v>103</v>
      </c>
    </row>
    <row r="98" spans="1:13" x14ac:dyDescent="0.2">
      <c r="A98" t="s">
        <v>25</v>
      </c>
      <c r="B98">
        <v>5.75980699520438E-3</v>
      </c>
      <c r="C98">
        <v>-3.7920733056393402E-3</v>
      </c>
      <c r="D98">
        <v>7.5977358238708001E-3</v>
      </c>
      <c r="E98">
        <v>-0.49910570642970897</v>
      </c>
      <c r="F98">
        <v>0.40991196188180501</v>
      </c>
      <c r="G98">
        <v>9.9563392134886294E-3</v>
      </c>
      <c r="H98">
        <v>41.1709518018897</v>
      </c>
      <c r="I98">
        <v>0.24910650619069599</v>
      </c>
      <c r="J98">
        <v>1</v>
      </c>
      <c r="K98">
        <v>43</v>
      </c>
      <c r="L98">
        <v>0.62024891894356804</v>
      </c>
      <c r="M98" t="s">
        <v>104</v>
      </c>
    </row>
    <row r="99" spans="1:13" x14ac:dyDescent="0.2">
      <c r="A99" t="s">
        <v>25</v>
      </c>
      <c r="B99">
        <v>5.7746026892285501E-2</v>
      </c>
      <c r="C99">
        <v>-1.07989563103298E-2</v>
      </c>
      <c r="D99">
        <v>6.7310074809653698E-3</v>
      </c>
      <c r="E99">
        <v>-1.60435957631427</v>
      </c>
      <c r="F99">
        <v>0.50212558502150695</v>
      </c>
      <c r="G99">
        <v>8.79766499950696E-3</v>
      </c>
      <c r="H99">
        <v>57.0748698716815</v>
      </c>
      <c r="I99">
        <v>2.5739696501112399</v>
      </c>
      <c r="J99">
        <v>1</v>
      </c>
      <c r="K99">
        <v>42</v>
      </c>
      <c r="L99">
        <v>0.11612918968935</v>
      </c>
      <c r="M99" t="s">
        <v>105</v>
      </c>
    </row>
    <row r="100" spans="1:13" x14ac:dyDescent="0.2">
      <c r="A100" t="s">
        <v>26</v>
      </c>
      <c r="B100">
        <v>0.32206047567363999</v>
      </c>
      <c r="C100">
        <v>1.7099635073020401E-2</v>
      </c>
      <c r="D100">
        <v>6.63055048946021E-3</v>
      </c>
      <c r="E100">
        <v>2.57891635094275</v>
      </c>
      <c r="F100">
        <v>0.29377353327377598</v>
      </c>
      <c r="G100">
        <v>6.1189320500606003E-3</v>
      </c>
      <c r="H100">
        <v>48.010589245040897</v>
      </c>
      <c r="I100">
        <v>6.6508095451599702</v>
      </c>
      <c r="J100">
        <v>1</v>
      </c>
      <c r="K100">
        <v>14</v>
      </c>
      <c r="L100">
        <v>2.1855371750218899E-2</v>
      </c>
      <c r="M100" t="s">
        <v>76</v>
      </c>
    </row>
    <row r="101" spans="1:13" x14ac:dyDescent="0.2">
      <c r="A101" t="s">
        <v>26</v>
      </c>
      <c r="B101">
        <v>0.25591360787456502</v>
      </c>
      <c r="C101">
        <v>7.7556558964584299E-2</v>
      </c>
      <c r="D101">
        <v>2.2353704274208599E-2</v>
      </c>
      <c r="E101">
        <v>3.4695170882289998</v>
      </c>
      <c r="F101">
        <v>0.67872482219546704</v>
      </c>
      <c r="G101">
        <v>2.75405166648304E-2</v>
      </c>
      <c r="H101">
        <v>24.644592926689999</v>
      </c>
      <c r="I101">
        <v>12.037548825513101</v>
      </c>
      <c r="J101">
        <v>1</v>
      </c>
      <c r="K101">
        <v>35</v>
      </c>
      <c r="L101">
        <v>1.4022445793685999E-3</v>
      </c>
      <c r="M101" t="s">
        <v>78</v>
      </c>
    </row>
    <row r="102" spans="1:13" x14ac:dyDescent="0.2">
      <c r="A102" t="s">
        <v>26</v>
      </c>
      <c r="B102">
        <v>0.19857414442485899</v>
      </c>
      <c r="C102">
        <v>1.9803131031784799E-2</v>
      </c>
      <c r="D102">
        <v>1.10339880602646E-2</v>
      </c>
      <c r="E102">
        <v>1.7947392115729599</v>
      </c>
      <c r="F102">
        <v>0.62908978436276797</v>
      </c>
      <c r="G102">
        <v>9.9040582892553908E-3</v>
      </c>
      <c r="H102">
        <v>63.518384685321202</v>
      </c>
      <c r="I102">
        <v>3.2210888375576401</v>
      </c>
      <c r="J102">
        <v>1</v>
      </c>
      <c r="K102">
        <v>13</v>
      </c>
      <c r="L102">
        <v>9.5969738654690995E-2</v>
      </c>
      <c r="M102" t="s">
        <v>101</v>
      </c>
    </row>
    <row r="103" spans="1:13" x14ac:dyDescent="0.2">
      <c r="A103" t="s">
        <v>26</v>
      </c>
      <c r="B103">
        <v>9.3869565881605305E-2</v>
      </c>
      <c r="C103">
        <v>4.9162146328935299E-2</v>
      </c>
      <c r="D103">
        <v>2.8363824537895301E-2</v>
      </c>
      <c r="E103">
        <v>1.7332693009453799</v>
      </c>
      <c r="F103">
        <v>1.04455761956903</v>
      </c>
      <c r="G103">
        <v>3.4905959732500602E-2</v>
      </c>
      <c r="H103">
        <v>29.924907596694901</v>
      </c>
      <c r="I103">
        <v>3.00422246959964</v>
      </c>
      <c r="J103">
        <v>1</v>
      </c>
      <c r="K103">
        <v>29</v>
      </c>
      <c r="L103">
        <v>9.3670258121068994E-2</v>
      </c>
      <c r="M103" t="s">
        <v>102</v>
      </c>
    </row>
    <row r="104" spans="1:13" x14ac:dyDescent="0.2">
      <c r="A104" t="s">
        <v>26</v>
      </c>
      <c r="B104">
        <v>0.16075006140786099</v>
      </c>
      <c r="C104">
        <v>-3.8226306181168603E-2</v>
      </c>
      <c r="D104">
        <v>1.03658100197712E-2</v>
      </c>
      <c r="E104">
        <v>-3.6877297681761201</v>
      </c>
      <c r="F104">
        <v>0.55155930633554895</v>
      </c>
      <c r="G104">
        <v>1.5809773166426299E-2</v>
      </c>
      <c r="H104">
        <v>34.887237187364697</v>
      </c>
      <c r="I104">
        <v>13.5993508430922</v>
      </c>
      <c r="J104">
        <v>1</v>
      </c>
      <c r="K104">
        <v>71</v>
      </c>
      <c r="L104">
        <v>4.3945772057110499E-4</v>
      </c>
      <c r="M104" t="s">
        <v>103</v>
      </c>
    </row>
    <row r="105" spans="1:13" x14ac:dyDescent="0.2">
      <c r="A105" t="s">
        <v>26</v>
      </c>
      <c r="B105">
        <v>2.9890067644845499E-2</v>
      </c>
      <c r="C105">
        <v>-7.6440337970682497E-3</v>
      </c>
      <c r="D105">
        <v>6.5651293451016298E-3</v>
      </c>
      <c r="E105">
        <v>-1.16433864365088</v>
      </c>
      <c r="F105">
        <v>0.42340453813630202</v>
      </c>
      <c r="G105">
        <v>8.6709058795628995E-3</v>
      </c>
      <c r="H105">
        <v>48.830484844064003</v>
      </c>
      <c r="I105">
        <v>1.35568447709875</v>
      </c>
      <c r="J105">
        <v>1</v>
      </c>
      <c r="K105">
        <v>44</v>
      </c>
      <c r="L105">
        <v>0.250561295172403</v>
      </c>
      <c r="M105" t="s">
        <v>104</v>
      </c>
    </row>
    <row r="106" spans="1:13" x14ac:dyDescent="0.2">
      <c r="A106" t="s">
        <v>26</v>
      </c>
      <c r="B106">
        <v>0.19349135662022099</v>
      </c>
      <c r="C106">
        <v>-1.76559060372397E-2</v>
      </c>
      <c r="D106">
        <v>5.69946041275032E-3</v>
      </c>
      <c r="E106">
        <v>-3.0978206283776402</v>
      </c>
      <c r="F106">
        <v>0.51182573356081196</v>
      </c>
      <c r="G106">
        <v>7.3249371715466997E-3</v>
      </c>
      <c r="H106">
        <v>69.874419612630902</v>
      </c>
      <c r="I106">
        <v>9.5964926456024493</v>
      </c>
      <c r="J106">
        <v>1</v>
      </c>
      <c r="K106">
        <v>40</v>
      </c>
      <c r="L106">
        <v>3.5578896329394702E-3</v>
      </c>
      <c r="M106" t="s">
        <v>105</v>
      </c>
    </row>
    <row r="107" spans="1:13" x14ac:dyDescent="0.2">
      <c r="A107" t="s">
        <v>27</v>
      </c>
      <c r="B107">
        <v>0.40980282914507898</v>
      </c>
      <c r="C107">
        <v>1.8655211596967002E-2</v>
      </c>
      <c r="D107">
        <v>5.7805030595889503E-3</v>
      </c>
      <c r="E107">
        <v>3.2272643755496202</v>
      </c>
      <c r="F107">
        <v>0.29188663230620499</v>
      </c>
      <c r="G107">
        <v>5.38100868148927E-3</v>
      </c>
      <c r="H107">
        <v>54.243850843485603</v>
      </c>
      <c r="I107">
        <v>10.415235349691701</v>
      </c>
      <c r="J107">
        <v>1</v>
      </c>
      <c r="K107">
        <v>15</v>
      </c>
      <c r="L107">
        <v>5.6399884131199699E-3</v>
      </c>
      <c r="M107" t="s">
        <v>76</v>
      </c>
    </row>
    <row r="108" spans="1:13" x14ac:dyDescent="0.2">
      <c r="A108" t="s">
        <v>27</v>
      </c>
      <c r="B108">
        <v>0.27007620779099401</v>
      </c>
      <c r="C108">
        <v>8.3688602311948995E-2</v>
      </c>
      <c r="D108">
        <v>2.3595134249928901E-2</v>
      </c>
      <c r="E108">
        <v>3.5468584931743399</v>
      </c>
      <c r="F108">
        <v>0.67617183174741002</v>
      </c>
      <c r="G108">
        <v>2.8948415007099E-2</v>
      </c>
      <c r="H108">
        <v>23.357818781497802</v>
      </c>
      <c r="I108">
        <v>12.5802051706029</v>
      </c>
      <c r="J108">
        <v>1</v>
      </c>
      <c r="K108">
        <v>34</v>
      </c>
      <c r="L108">
        <v>1.16087321418408E-3</v>
      </c>
      <c r="M108" t="s">
        <v>78</v>
      </c>
    </row>
    <row r="109" spans="1:13" x14ac:dyDescent="0.2">
      <c r="A109" t="s">
        <v>27</v>
      </c>
      <c r="B109">
        <v>5.7574655843983198E-2</v>
      </c>
      <c r="C109">
        <v>1.1235000648194301E-2</v>
      </c>
      <c r="D109">
        <v>1.26069267300929E-2</v>
      </c>
      <c r="E109">
        <v>0.89117680214450401</v>
      </c>
      <c r="F109">
        <v>0.63836664742216698</v>
      </c>
      <c r="G109">
        <v>1.1245162777516899E-2</v>
      </c>
      <c r="H109">
        <v>56.768110880394801</v>
      </c>
      <c r="I109">
        <v>0.79419609268049796</v>
      </c>
      <c r="J109">
        <v>1</v>
      </c>
      <c r="K109">
        <v>13</v>
      </c>
      <c r="L109">
        <v>0.38903083122045601</v>
      </c>
      <c r="M109" t="s">
        <v>101</v>
      </c>
    </row>
    <row r="110" spans="1:13" x14ac:dyDescent="0.2">
      <c r="A110" t="s">
        <v>27</v>
      </c>
      <c r="B110">
        <v>8.9276373594209202E-2</v>
      </c>
      <c r="C110">
        <v>4.8908030247075497E-2</v>
      </c>
      <c r="D110">
        <v>2.90072263865301E-2</v>
      </c>
      <c r="E110">
        <v>1.6860636585987601</v>
      </c>
      <c r="F110">
        <v>1.03593368008901</v>
      </c>
      <c r="G110">
        <v>3.5668259623620101E-2</v>
      </c>
      <c r="H110">
        <v>29.0435723811709</v>
      </c>
      <c r="I110">
        <v>2.8428106608474901</v>
      </c>
      <c r="J110">
        <v>1</v>
      </c>
      <c r="K110">
        <v>29</v>
      </c>
      <c r="L110">
        <v>0.10251503113127899</v>
      </c>
      <c r="M110" t="s">
        <v>102</v>
      </c>
    </row>
    <row r="111" spans="1:13" x14ac:dyDescent="0.2">
      <c r="A111" t="s">
        <v>27</v>
      </c>
      <c r="B111">
        <v>0.17780992848590299</v>
      </c>
      <c r="C111">
        <v>-4.0926211391088797E-2</v>
      </c>
      <c r="D111">
        <v>1.0444327445787299E-2</v>
      </c>
      <c r="E111">
        <v>-3.91851094323899</v>
      </c>
      <c r="F111">
        <v>0.55029869131948095</v>
      </c>
      <c r="G111">
        <v>1.62431454140297E-2</v>
      </c>
      <c r="H111">
        <v>33.878825639532401</v>
      </c>
      <c r="I111">
        <v>15.3547280122838</v>
      </c>
      <c r="J111">
        <v>1</v>
      </c>
      <c r="K111">
        <v>71</v>
      </c>
      <c r="L111">
        <v>2.0282898057873001E-4</v>
      </c>
      <c r="M111" t="s">
        <v>103</v>
      </c>
    </row>
    <row r="112" spans="1:13" x14ac:dyDescent="0.2">
      <c r="A112" t="s">
        <v>27</v>
      </c>
      <c r="B112">
        <v>1.4950264000306501E-3</v>
      </c>
      <c r="C112">
        <v>-1.45096953246404E-3</v>
      </c>
      <c r="D112">
        <v>5.7860786585762604E-3</v>
      </c>
      <c r="E112">
        <v>-0.25076906452237402</v>
      </c>
      <c r="F112">
        <v>0.40714943425307198</v>
      </c>
      <c r="G112">
        <v>7.5778447602391696E-3</v>
      </c>
      <c r="H112">
        <v>53.728922554520899</v>
      </c>
      <c r="I112">
        <v>6.2885123721420105E-2</v>
      </c>
      <c r="J112">
        <v>1</v>
      </c>
      <c r="K112">
        <v>42</v>
      </c>
      <c r="L112">
        <v>0.80321542468731899</v>
      </c>
      <c r="M112" t="s">
        <v>104</v>
      </c>
    </row>
    <row r="113" spans="1:13" x14ac:dyDescent="0.2">
      <c r="A113" t="s">
        <v>27</v>
      </c>
      <c r="B113">
        <v>2.0401396825211499E-2</v>
      </c>
      <c r="C113">
        <v>-5.5868368078866798E-3</v>
      </c>
      <c r="D113">
        <v>6.1211090544520501E-3</v>
      </c>
      <c r="E113">
        <v>-0.91271643066434505</v>
      </c>
      <c r="F113">
        <v>0.49284427696046001</v>
      </c>
      <c r="G113">
        <v>7.9567327335232207E-3</v>
      </c>
      <c r="H113">
        <v>61.940534320577797</v>
      </c>
      <c r="I113">
        <v>0.83305128280470897</v>
      </c>
      <c r="J113">
        <v>1</v>
      </c>
      <c r="K113">
        <v>40</v>
      </c>
      <c r="L113">
        <v>0.36686026694613</v>
      </c>
      <c r="M113" t="s">
        <v>105</v>
      </c>
    </row>
    <row r="114" spans="1:13" x14ac:dyDescent="0.2">
      <c r="A114" t="s">
        <v>28</v>
      </c>
      <c r="B114">
        <v>0.38257187496973499</v>
      </c>
      <c r="C114">
        <v>1.7650298543074702E-2</v>
      </c>
      <c r="D114">
        <v>6.7607114050466299E-3</v>
      </c>
      <c r="E114">
        <v>2.61071616367167</v>
      </c>
      <c r="F114">
        <v>0.29333213531167801</v>
      </c>
      <c r="G114">
        <v>5.8250045842730301E-3</v>
      </c>
      <c r="H114">
        <v>50.357408490913002</v>
      </c>
      <c r="I114">
        <v>6.8158388872563904</v>
      </c>
      <c r="J114">
        <v>1</v>
      </c>
      <c r="K114">
        <v>11</v>
      </c>
      <c r="L114">
        <v>2.42265422810806E-2</v>
      </c>
      <c r="M114" t="s">
        <v>76</v>
      </c>
    </row>
    <row r="115" spans="1:13" x14ac:dyDescent="0.2">
      <c r="A115" t="s">
        <v>28</v>
      </c>
      <c r="B115">
        <v>0.28305758138159198</v>
      </c>
      <c r="C115">
        <v>9.1720329695787001E-2</v>
      </c>
      <c r="D115">
        <v>2.5804494782179201E-2</v>
      </c>
      <c r="E115">
        <v>3.5544322983269501</v>
      </c>
      <c r="F115">
        <v>0.67307693104937205</v>
      </c>
      <c r="G115">
        <v>3.11466834553107E-2</v>
      </c>
      <c r="H115">
        <v>21.609906942904601</v>
      </c>
      <c r="I115">
        <v>12.6339889633898</v>
      </c>
      <c r="J115">
        <v>1</v>
      </c>
      <c r="K115">
        <v>32</v>
      </c>
      <c r="L115">
        <v>1.2016169704921801E-3</v>
      </c>
      <c r="M115" t="s">
        <v>78</v>
      </c>
    </row>
    <row r="116" spans="1:13" x14ac:dyDescent="0.2">
      <c r="A116" t="s">
        <v>28</v>
      </c>
      <c r="B116">
        <v>0.30175401292917597</v>
      </c>
      <c r="C116">
        <v>2.1321330649440699E-2</v>
      </c>
      <c r="D116">
        <v>8.9953968131789297E-3</v>
      </c>
      <c r="E116">
        <v>2.3702490387309298</v>
      </c>
      <c r="F116">
        <v>0.62626598060689498</v>
      </c>
      <c r="G116">
        <v>8.0076865295405E-3</v>
      </c>
      <c r="H116">
        <v>78.208103963184399</v>
      </c>
      <c r="I116">
        <v>5.6180805056046701</v>
      </c>
      <c r="J116">
        <v>1</v>
      </c>
      <c r="K116">
        <v>13</v>
      </c>
      <c r="L116">
        <v>3.3920174683162198E-2</v>
      </c>
      <c r="M116" t="s">
        <v>101</v>
      </c>
    </row>
    <row r="117" spans="1:13" x14ac:dyDescent="0.2">
      <c r="A117" t="s">
        <v>28</v>
      </c>
      <c r="B117">
        <v>0.15466930745680099</v>
      </c>
      <c r="C117">
        <v>4.7523799446554799E-2</v>
      </c>
      <c r="D117">
        <v>2.0284381758512601E-2</v>
      </c>
      <c r="E117">
        <v>2.3428764067019499</v>
      </c>
      <c r="F117">
        <v>1.04364078485006</v>
      </c>
      <c r="G117">
        <v>2.4762605849310799E-2</v>
      </c>
      <c r="H117">
        <v>42.145838414623299</v>
      </c>
      <c r="I117">
        <v>5.48906985708068</v>
      </c>
      <c r="J117">
        <v>1</v>
      </c>
      <c r="K117">
        <v>30</v>
      </c>
      <c r="L117">
        <v>2.5959802622653901E-2</v>
      </c>
      <c r="M117" t="s">
        <v>102</v>
      </c>
    </row>
    <row r="118" spans="1:13" x14ac:dyDescent="0.2">
      <c r="A118" t="s">
        <v>28</v>
      </c>
      <c r="B118">
        <v>7.9598875815803504E-3</v>
      </c>
      <c r="C118">
        <v>-9.7823569712986308E-3</v>
      </c>
      <c r="D118">
        <v>1.34425818136325E-2</v>
      </c>
      <c r="E118">
        <v>-0.72771414799038803</v>
      </c>
      <c r="F118">
        <v>0.50386322946467599</v>
      </c>
      <c r="G118">
        <v>2.0335982494458501E-2</v>
      </c>
      <c r="H118">
        <v>24.776930723754202</v>
      </c>
      <c r="I118">
        <v>0.52956788118535403</v>
      </c>
      <c r="J118">
        <v>1</v>
      </c>
      <c r="K118">
        <v>66</v>
      </c>
      <c r="L118">
        <v>0.46936239473658498</v>
      </c>
      <c r="M118" t="s">
        <v>103</v>
      </c>
    </row>
    <row r="119" spans="1:13" x14ac:dyDescent="0.2">
      <c r="A119" t="s">
        <v>28</v>
      </c>
      <c r="B119">
        <v>1.85063294327757E-3</v>
      </c>
      <c r="C119">
        <v>-2.13666414096005E-3</v>
      </c>
      <c r="D119">
        <v>7.8459202462350906E-3</v>
      </c>
      <c r="E119">
        <v>-0.27232804743144601</v>
      </c>
      <c r="F119">
        <v>0.41005013998780299</v>
      </c>
      <c r="G119">
        <v>1.01532643298254E-2</v>
      </c>
      <c r="H119">
        <v>40.386040062334899</v>
      </c>
      <c r="I119">
        <v>7.4162565417822901E-2</v>
      </c>
      <c r="J119">
        <v>1</v>
      </c>
      <c r="K119">
        <v>40</v>
      </c>
      <c r="L119">
        <v>0.78677067159245695</v>
      </c>
      <c r="M119" t="s">
        <v>104</v>
      </c>
    </row>
    <row r="120" spans="1:13" x14ac:dyDescent="0.2">
      <c r="A120" t="s">
        <v>28</v>
      </c>
      <c r="B120">
        <v>0.14780467057414401</v>
      </c>
      <c r="C120">
        <v>-1.9437615069580701E-2</v>
      </c>
      <c r="D120">
        <v>7.47370875635937E-3</v>
      </c>
      <c r="E120">
        <v>-2.6007991083464801</v>
      </c>
      <c r="F120">
        <v>0.51255687155328</v>
      </c>
      <c r="G120">
        <v>9.5793833925045795E-3</v>
      </c>
      <c r="H120">
        <v>53.506248842105201</v>
      </c>
      <c r="I120">
        <v>6.7641560019757598</v>
      </c>
      <c r="J120">
        <v>1</v>
      </c>
      <c r="K120">
        <v>39</v>
      </c>
      <c r="L120">
        <v>1.30726211208845E-2</v>
      </c>
      <c r="M120" t="s">
        <v>105</v>
      </c>
    </row>
    <row r="121" spans="1:13" x14ac:dyDescent="0.2">
      <c r="A121" t="s">
        <v>29</v>
      </c>
      <c r="B121">
        <v>0.14694689767746699</v>
      </c>
      <c r="C121">
        <v>3.9410214107539103E-3</v>
      </c>
      <c r="D121">
        <v>2.5377719858807198E-3</v>
      </c>
      <c r="E121">
        <v>1.55294543114211</v>
      </c>
      <c r="F121">
        <v>0.30196117151410501</v>
      </c>
      <c r="G121">
        <v>2.3528361471269799E-3</v>
      </c>
      <c r="H121">
        <v>128.33922663200599</v>
      </c>
      <c r="I121">
        <v>2.4116395121047298</v>
      </c>
      <c r="J121">
        <v>1</v>
      </c>
      <c r="K121">
        <v>14</v>
      </c>
      <c r="L121">
        <v>0.14274475564955599</v>
      </c>
      <c r="M121" t="s">
        <v>76</v>
      </c>
    </row>
    <row r="122" spans="1:13" x14ac:dyDescent="0.2">
      <c r="A122" t="s">
        <v>29</v>
      </c>
      <c r="B122">
        <v>3.5375491701117902E-2</v>
      </c>
      <c r="C122">
        <v>2.9974217590363901E-2</v>
      </c>
      <c r="D122">
        <v>2.7669465505186799E-2</v>
      </c>
      <c r="E122">
        <v>1.0832958657891301</v>
      </c>
      <c r="F122">
        <v>0.74785196280893795</v>
      </c>
      <c r="G122">
        <v>3.2525432706749902E-2</v>
      </c>
      <c r="H122">
        <v>22.992836699563401</v>
      </c>
      <c r="I122">
        <v>1.17352993283582</v>
      </c>
      <c r="J122">
        <v>1</v>
      </c>
      <c r="K122">
        <v>32</v>
      </c>
      <c r="L122">
        <v>0.28677241862861402</v>
      </c>
      <c r="M122" t="s">
        <v>78</v>
      </c>
    </row>
    <row r="123" spans="1:13" x14ac:dyDescent="0.2">
      <c r="A123" t="s">
        <v>29</v>
      </c>
      <c r="B123" s="1">
        <v>9.7065870253994508E-6</v>
      </c>
      <c r="C123" s="1">
        <v>5.9277987552732903E-5</v>
      </c>
      <c r="D123">
        <v>6.01669597633231E-3</v>
      </c>
      <c r="E123">
        <v>9.8522491058070493E-3</v>
      </c>
      <c r="F123">
        <v>0.636007239036952</v>
      </c>
      <c r="G123">
        <v>4.9307530871750601E-3</v>
      </c>
      <c r="H123">
        <v>128.98784988670701</v>
      </c>
      <c r="I123" s="1">
        <v>9.7066812441456703E-5</v>
      </c>
      <c r="J123">
        <v>1</v>
      </c>
      <c r="K123">
        <v>10</v>
      </c>
      <c r="L123">
        <v>0.99233295098352003</v>
      </c>
      <c r="M123" t="s">
        <v>101</v>
      </c>
    </row>
    <row r="124" spans="1:13" x14ac:dyDescent="0.2">
      <c r="A124" t="s">
        <v>29</v>
      </c>
      <c r="B124">
        <v>0.122418646644698</v>
      </c>
      <c r="C124">
        <v>4.7120873921809601E-2</v>
      </c>
      <c r="D124">
        <v>2.6306878856722001E-2</v>
      </c>
      <c r="E124">
        <v>1.79119971542231</v>
      </c>
      <c r="F124">
        <v>1.0402905207558399</v>
      </c>
      <c r="G124">
        <v>2.8465083491183998E-2</v>
      </c>
      <c r="H124">
        <v>36.546196011616502</v>
      </c>
      <c r="I124">
        <v>3.2083964205289002</v>
      </c>
      <c r="J124">
        <v>1</v>
      </c>
      <c r="K124">
        <v>23</v>
      </c>
      <c r="L124">
        <v>8.6431564864457799E-2</v>
      </c>
      <c r="M124" t="s">
        <v>102</v>
      </c>
    </row>
    <row r="125" spans="1:13" x14ac:dyDescent="0.2">
      <c r="A125" t="s">
        <v>29</v>
      </c>
      <c r="B125">
        <v>2.5926023464647001E-2</v>
      </c>
      <c r="C125">
        <v>-1.33279166040935E-2</v>
      </c>
      <c r="D125">
        <v>1.02117528475043E-2</v>
      </c>
      <c r="E125">
        <v>-1.3051546392792699</v>
      </c>
      <c r="F125">
        <v>0.49507920157433299</v>
      </c>
      <c r="G125">
        <v>1.5331705935098401E-2</v>
      </c>
      <c r="H125">
        <v>32.291201231623099</v>
      </c>
      <c r="I125">
        <v>1.7034286324322001</v>
      </c>
      <c r="J125">
        <v>1</v>
      </c>
      <c r="K125">
        <v>64</v>
      </c>
      <c r="L125">
        <v>0.19651319575435</v>
      </c>
      <c r="M125" t="s">
        <v>103</v>
      </c>
    </row>
    <row r="126" spans="1:13" x14ac:dyDescent="0.2">
      <c r="A126" t="s">
        <v>29</v>
      </c>
      <c r="B126">
        <v>6.3236408309164605E-2</v>
      </c>
      <c r="C126">
        <v>1.4229209975545E-2</v>
      </c>
      <c r="D126">
        <v>8.6592882476089691E-3</v>
      </c>
      <c r="E126">
        <v>1.6432308948110199</v>
      </c>
      <c r="F126">
        <v>0.38942686369514701</v>
      </c>
      <c r="G126">
        <v>1.11521610544597E-2</v>
      </c>
      <c r="H126">
        <v>34.919408157167702</v>
      </c>
      <c r="I126">
        <v>2.7002077736614201</v>
      </c>
      <c r="J126">
        <v>1</v>
      </c>
      <c r="K126">
        <v>40</v>
      </c>
      <c r="L126">
        <v>0.10817412332590801</v>
      </c>
      <c r="M126" t="s">
        <v>104</v>
      </c>
    </row>
    <row r="127" spans="1:13" x14ac:dyDescent="0.2">
      <c r="A127" t="s">
        <v>29</v>
      </c>
      <c r="B127">
        <v>1.4734178952954999E-3</v>
      </c>
      <c r="C127">
        <v>1.5002116977828701E-3</v>
      </c>
      <c r="D127">
        <v>6.3354518489202897E-3</v>
      </c>
      <c r="E127">
        <v>0.23679632227629299</v>
      </c>
      <c r="F127">
        <v>0.48606420028981601</v>
      </c>
      <c r="G127">
        <v>8.0922385790822109E-3</v>
      </c>
      <c r="H127">
        <v>60.065480712129897</v>
      </c>
      <c r="I127">
        <v>5.6072498243574902E-2</v>
      </c>
      <c r="J127">
        <v>1</v>
      </c>
      <c r="K127">
        <v>38</v>
      </c>
      <c r="L127">
        <v>0.81408670501566605</v>
      </c>
      <c r="M127" t="s">
        <v>105</v>
      </c>
    </row>
    <row r="128" spans="1:13" x14ac:dyDescent="0.2">
      <c r="A128" t="s">
        <v>30</v>
      </c>
      <c r="B128">
        <v>0.30698427897313901</v>
      </c>
      <c r="C128">
        <v>1.80418803223205E-2</v>
      </c>
      <c r="D128">
        <v>6.9992199890991898E-3</v>
      </c>
      <c r="E128">
        <v>2.5776987079159501</v>
      </c>
      <c r="F128">
        <v>0.292666673462951</v>
      </c>
      <c r="G128">
        <v>6.5906347277865096E-3</v>
      </c>
      <c r="H128">
        <v>44.4064472620598</v>
      </c>
      <c r="I128">
        <v>6.6445306287916202</v>
      </c>
      <c r="J128">
        <v>1</v>
      </c>
      <c r="K128">
        <v>15</v>
      </c>
      <c r="L128">
        <v>2.10105434730735E-2</v>
      </c>
      <c r="M128" t="s">
        <v>76</v>
      </c>
    </row>
    <row r="129" spans="1:13" x14ac:dyDescent="0.2">
      <c r="A129" t="s">
        <v>30</v>
      </c>
      <c r="B129">
        <v>0.33453300090037202</v>
      </c>
      <c r="C129">
        <v>0.12970032405104201</v>
      </c>
      <c r="D129">
        <v>3.13722293399974E-2</v>
      </c>
      <c r="E129">
        <v>4.13423995615394</v>
      </c>
      <c r="F129">
        <v>0.612104728709435</v>
      </c>
      <c r="G129">
        <v>3.8044571297435097E-2</v>
      </c>
      <c r="H129">
        <v>16.089147750515</v>
      </c>
      <c r="I129">
        <v>17.091940015059699</v>
      </c>
      <c r="J129">
        <v>1</v>
      </c>
      <c r="K129">
        <v>34</v>
      </c>
      <c r="L129">
        <v>2.2002658392261199E-4</v>
      </c>
      <c r="M129" t="s">
        <v>78</v>
      </c>
    </row>
    <row r="130" spans="1:13" x14ac:dyDescent="0.2">
      <c r="A130" t="s">
        <v>30</v>
      </c>
      <c r="B130">
        <v>0.58274271070527195</v>
      </c>
      <c r="C130">
        <v>3.8199888868862199E-2</v>
      </c>
      <c r="D130">
        <v>8.9650757729495406E-3</v>
      </c>
      <c r="E130">
        <v>4.2609666483939099</v>
      </c>
      <c r="F130">
        <v>0.61127015459258804</v>
      </c>
      <c r="G130">
        <v>7.9771120653224902E-3</v>
      </c>
      <c r="H130">
        <v>76.628001410417298</v>
      </c>
      <c r="I130">
        <v>18.155836778725501</v>
      </c>
      <c r="J130">
        <v>1</v>
      </c>
      <c r="K130">
        <v>13</v>
      </c>
      <c r="L130">
        <v>9.2809670927384604E-4</v>
      </c>
      <c r="M130" t="s">
        <v>101</v>
      </c>
    </row>
    <row r="131" spans="1:13" x14ac:dyDescent="0.2">
      <c r="A131" t="s">
        <v>30</v>
      </c>
      <c r="B131">
        <v>3.27413315525125E-2</v>
      </c>
      <c r="C131">
        <v>2.6742585187686602E-2</v>
      </c>
      <c r="D131">
        <v>2.6991532011591799E-2</v>
      </c>
      <c r="E131">
        <v>0.99077685461506104</v>
      </c>
      <c r="F131">
        <v>1.0741766185734301</v>
      </c>
      <c r="G131">
        <v>3.2900741122093298E-2</v>
      </c>
      <c r="H131">
        <v>32.649009777232898</v>
      </c>
      <c r="I131">
        <v>0.98163877564092406</v>
      </c>
      <c r="J131">
        <v>1</v>
      </c>
      <c r="K131">
        <v>29</v>
      </c>
      <c r="L131">
        <v>0.32998982621030598</v>
      </c>
      <c r="M131" t="s">
        <v>102</v>
      </c>
    </row>
    <row r="132" spans="1:13" x14ac:dyDescent="0.2">
      <c r="A132" t="s">
        <v>30</v>
      </c>
      <c r="B132">
        <v>8.1771582620064495E-2</v>
      </c>
      <c r="C132">
        <v>-2.79260724696914E-2</v>
      </c>
      <c r="D132">
        <v>1.11059278906591E-2</v>
      </c>
      <c r="E132">
        <v>-2.5145195200825299</v>
      </c>
      <c r="F132">
        <v>0.53939257390782203</v>
      </c>
      <c r="G132">
        <v>1.6848867366244E-2</v>
      </c>
      <c r="H132">
        <v>32.013580627293202</v>
      </c>
      <c r="I132">
        <v>6.3228084168759899</v>
      </c>
      <c r="J132">
        <v>1</v>
      </c>
      <c r="K132">
        <v>71</v>
      </c>
      <c r="L132">
        <v>1.4186821447471999E-2</v>
      </c>
      <c r="M132" t="s">
        <v>103</v>
      </c>
    </row>
    <row r="133" spans="1:13" x14ac:dyDescent="0.2">
      <c r="A133" t="s">
        <v>30</v>
      </c>
      <c r="B133">
        <v>0.12850230295964701</v>
      </c>
      <c r="C133">
        <v>-1.6659434338551601E-2</v>
      </c>
      <c r="D133">
        <v>6.6944248760382697E-3</v>
      </c>
      <c r="E133">
        <v>-2.4885534824928199</v>
      </c>
      <c r="F133">
        <v>0.43610657030077998</v>
      </c>
      <c r="G133">
        <v>8.6941606611531906E-3</v>
      </c>
      <c r="H133">
        <v>50.160859374197003</v>
      </c>
      <c r="I133">
        <v>6.1928984352270202</v>
      </c>
      <c r="J133">
        <v>1</v>
      </c>
      <c r="K133">
        <v>42</v>
      </c>
      <c r="L133">
        <v>1.6876254787918699E-2</v>
      </c>
      <c r="M133" t="s">
        <v>104</v>
      </c>
    </row>
    <row r="134" spans="1:13" x14ac:dyDescent="0.2">
      <c r="A134" t="s">
        <v>30</v>
      </c>
      <c r="B134">
        <v>0.39430062482021799</v>
      </c>
      <c r="C134">
        <v>-4.5153526524841003E-2</v>
      </c>
      <c r="D134">
        <v>8.8486396476148803E-3</v>
      </c>
      <c r="E134">
        <v>-5.1028777668680396</v>
      </c>
      <c r="F134">
        <v>0.54896173683593696</v>
      </c>
      <c r="G134">
        <v>1.13605625184733E-2</v>
      </c>
      <c r="H134">
        <v>48.321703783881702</v>
      </c>
      <c r="I134">
        <v>26.0393615035963</v>
      </c>
      <c r="J134">
        <v>1</v>
      </c>
      <c r="K134">
        <v>40</v>
      </c>
      <c r="L134" s="1">
        <v>8.5256949175762793E-6</v>
      </c>
      <c r="M134" t="s">
        <v>105</v>
      </c>
    </row>
    <row r="135" spans="1:13" x14ac:dyDescent="0.2">
      <c r="A135" t="s">
        <v>31</v>
      </c>
      <c r="B135">
        <v>0.31043296942924398</v>
      </c>
      <c r="C135">
        <v>1.7630759001070601E-2</v>
      </c>
      <c r="D135">
        <v>7.0228164227519197E-3</v>
      </c>
      <c r="E135">
        <v>2.5104969202885501</v>
      </c>
      <c r="F135">
        <v>0.29220145024768801</v>
      </c>
      <c r="G135">
        <v>6.4975702339246499E-3</v>
      </c>
      <c r="H135">
        <v>44.970879840908303</v>
      </c>
      <c r="I135">
        <v>6.3025947867782799</v>
      </c>
      <c r="J135">
        <v>1</v>
      </c>
      <c r="K135">
        <v>14</v>
      </c>
      <c r="L135">
        <v>2.4955207359245099E-2</v>
      </c>
      <c r="M135" t="s">
        <v>76</v>
      </c>
    </row>
    <row r="136" spans="1:13" x14ac:dyDescent="0.2">
      <c r="A136" t="s">
        <v>31</v>
      </c>
      <c r="B136">
        <v>0.36287509297718001</v>
      </c>
      <c r="C136">
        <v>0.10693077588886001</v>
      </c>
      <c r="D136">
        <v>2.4299479504726398E-2</v>
      </c>
      <c r="E136">
        <v>4.4005377097917302</v>
      </c>
      <c r="F136">
        <v>0.64925007411272295</v>
      </c>
      <c r="G136">
        <v>2.94720183705863E-2</v>
      </c>
      <c r="H136">
        <v>22.029372605192499</v>
      </c>
      <c r="I136">
        <v>19.364732135298901</v>
      </c>
      <c r="J136">
        <v>1</v>
      </c>
      <c r="K136">
        <v>34</v>
      </c>
      <c r="L136">
        <v>1.01340049574202E-4</v>
      </c>
      <c r="M136" t="s">
        <v>78</v>
      </c>
    </row>
    <row r="137" spans="1:13" x14ac:dyDescent="0.2">
      <c r="A137" t="s">
        <v>31</v>
      </c>
      <c r="B137">
        <v>0.27759854790349803</v>
      </c>
      <c r="C137">
        <v>2.462093914022E-2</v>
      </c>
      <c r="D137">
        <v>1.1015739282230401E-2</v>
      </c>
      <c r="E137">
        <v>2.23506915962838</v>
      </c>
      <c r="F137">
        <v>0.62407258893856599</v>
      </c>
      <c r="G137">
        <v>1.00000254877643E-2</v>
      </c>
      <c r="H137">
        <v>62.407099832111797</v>
      </c>
      <c r="I137">
        <v>4.9955341483219904</v>
      </c>
      <c r="J137">
        <v>1</v>
      </c>
      <c r="K137">
        <v>13</v>
      </c>
      <c r="L137">
        <v>4.3591835040331102E-2</v>
      </c>
      <c r="M137" t="s">
        <v>101</v>
      </c>
    </row>
    <row r="138" spans="1:13" x14ac:dyDescent="0.2">
      <c r="A138" t="s">
        <v>31</v>
      </c>
      <c r="B138">
        <v>7.90703508564264E-2</v>
      </c>
      <c r="C138">
        <v>4.5756879757749502E-2</v>
      </c>
      <c r="D138">
        <v>2.89977163397904E-2</v>
      </c>
      <c r="E138">
        <v>1.5779476984179699</v>
      </c>
      <c r="F138">
        <v>1.03954524845313</v>
      </c>
      <c r="G138">
        <v>3.5589186074248297E-2</v>
      </c>
      <c r="H138">
        <v>29.2095819860665</v>
      </c>
      <c r="I138">
        <v>2.48991893894262</v>
      </c>
      <c r="J138">
        <v>1</v>
      </c>
      <c r="K138">
        <v>29</v>
      </c>
      <c r="L138">
        <v>0.12542494454073</v>
      </c>
      <c r="M138" t="s">
        <v>102</v>
      </c>
    </row>
    <row r="139" spans="1:13" x14ac:dyDescent="0.2">
      <c r="A139" t="s">
        <v>31</v>
      </c>
      <c r="B139">
        <v>0.14686161211291701</v>
      </c>
      <c r="C139">
        <v>-3.81297777826822E-2</v>
      </c>
      <c r="D139">
        <v>1.09842611740137E-2</v>
      </c>
      <c r="E139">
        <v>-3.4713101936149098</v>
      </c>
      <c r="F139">
        <v>0.55361639281725805</v>
      </c>
      <c r="G139">
        <v>1.6805274692803299E-2</v>
      </c>
      <c r="H139">
        <v>32.943013603600299</v>
      </c>
      <c r="I139">
        <v>12.049994460294799</v>
      </c>
      <c r="J139">
        <v>1</v>
      </c>
      <c r="K139">
        <v>70</v>
      </c>
      <c r="L139">
        <v>8.9154109408411998E-4</v>
      </c>
      <c r="M139" t="s">
        <v>103</v>
      </c>
    </row>
    <row r="140" spans="1:13" x14ac:dyDescent="0.2">
      <c r="A140" t="s">
        <v>31</v>
      </c>
      <c r="B140">
        <v>8.4756949959919406E-2</v>
      </c>
      <c r="C140">
        <v>-1.2404020799371401E-2</v>
      </c>
      <c r="D140">
        <v>6.1449267099786802E-3</v>
      </c>
      <c r="E140">
        <v>-2.0185791279216798</v>
      </c>
      <c r="F140">
        <v>0.42819106127082202</v>
      </c>
      <c r="G140">
        <v>8.1295049889945105E-3</v>
      </c>
      <c r="H140">
        <v>52.6712342080477</v>
      </c>
      <c r="I140">
        <v>4.0746616956808701</v>
      </c>
      <c r="J140">
        <v>1</v>
      </c>
      <c r="K140">
        <v>44</v>
      </c>
      <c r="L140">
        <v>4.96516021123969E-2</v>
      </c>
      <c r="M140" t="s">
        <v>104</v>
      </c>
    </row>
    <row r="141" spans="1:13" x14ac:dyDescent="0.2">
      <c r="A141" t="s">
        <v>31</v>
      </c>
      <c r="B141">
        <v>0.30145168051347898</v>
      </c>
      <c r="C141">
        <v>-2.4353516063524001E-2</v>
      </c>
      <c r="D141">
        <v>5.8616657170409503E-3</v>
      </c>
      <c r="E141">
        <v>-4.1547091286225699</v>
      </c>
      <c r="F141">
        <v>0.52158724982476201</v>
      </c>
      <c r="G141">
        <v>7.5919528094757797E-3</v>
      </c>
      <c r="H141">
        <v>68.702646461889302</v>
      </c>
      <c r="I141">
        <v>17.26160794346</v>
      </c>
      <c r="J141">
        <v>1</v>
      </c>
      <c r="K141">
        <v>40</v>
      </c>
      <c r="L141">
        <v>1.66378859144698E-4</v>
      </c>
      <c r="M141" t="s">
        <v>105</v>
      </c>
    </row>
    <row r="142" spans="1:13" x14ac:dyDescent="0.2">
      <c r="A142" t="s">
        <v>32</v>
      </c>
      <c r="B142">
        <v>0.20280969510683999</v>
      </c>
      <c r="C142">
        <v>1.06631329185773E-2</v>
      </c>
      <c r="D142">
        <v>5.8634036734992604E-3</v>
      </c>
      <c r="E142">
        <v>1.8185909605322399</v>
      </c>
      <c r="F142">
        <v>0.29750396744809399</v>
      </c>
      <c r="G142">
        <v>5.2825060903776699E-3</v>
      </c>
      <c r="H142">
        <v>56.318717358416599</v>
      </c>
      <c r="I142">
        <v>3.3072730817295501</v>
      </c>
      <c r="J142">
        <v>1</v>
      </c>
      <c r="K142">
        <v>13</v>
      </c>
      <c r="L142">
        <v>9.2078024689405194E-2</v>
      </c>
      <c r="M142" t="s">
        <v>76</v>
      </c>
    </row>
    <row r="143" spans="1:13" x14ac:dyDescent="0.2">
      <c r="A143" t="s">
        <v>32</v>
      </c>
      <c r="B143">
        <v>0.20724386277996801</v>
      </c>
      <c r="C143">
        <v>8.5576941979881693E-2</v>
      </c>
      <c r="D143">
        <v>2.8291222111336299E-2</v>
      </c>
      <c r="E143">
        <v>3.02485843994668</v>
      </c>
      <c r="F143">
        <v>0.66810409938171</v>
      </c>
      <c r="G143">
        <v>3.47725853131036E-2</v>
      </c>
      <c r="H143">
        <v>19.213529663264399</v>
      </c>
      <c r="I143">
        <v>9.1497685817166499</v>
      </c>
      <c r="J143">
        <v>1</v>
      </c>
      <c r="K143">
        <v>35</v>
      </c>
      <c r="L143">
        <v>4.6382440662147001E-3</v>
      </c>
      <c r="M143" t="s">
        <v>78</v>
      </c>
    </row>
    <row r="144" spans="1:13" x14ac:dyDescent="0.2">
      <c r="A144" t="s">
        <v>32</v>
      </c>
      <c r="B144">
        <v>0.26078526352731202</v>
      </c>
      <c r="C144">
        <v>2.3415147021791798E-2</v>
      </c>
      <c r="D144">
        <v>1.1380204091998599E-2</v>
      </c>
      <c r="E144">
        <v>2.0575331367084</v>
      </c>
      <c r="F144">
        <v>0.62584327922626903</v>
      </c>
      <c r="G144">
        <v>9.9451581191993196E-3</v>
      </c>
      <c r="H144">
        <v>62.929444833870001</v>
      </c>
      <c r="I144">
        <v>4.2334426086530899</v>
      </c>
      <c r="J144">
        <v>1</v>
      </c>
      <c r="K144">
        <v>12</v>
      </c>
      <c r="L144">
        <v>6.2040743181128198E-2</v>
      </c>
      <c r="M144" t="s">
        <v>101</v>
      </c>
    </row>
    <row r="145" spans="1:13" x14ac:dyDescent="0.2">
      <c r="A145" t="s">
        <v>32</v>
      </c>
      <c r="B145">
        <v>0.15928102077727099</v>
      </c>
      <c r="C145">
        <v>5.5207313167826198E-2</v>
      </c>
      <c r="D145">
        <v>2.3969612129589001E-2</v>
      </c>
      <c r="E145">
        <v>2.3032209645009698</v>
      </c>
      <c r="F145">
        <v>1.03301496069345</v>
      </c>
      <c r="G145">
        <v>2.87833152614933E-2</v>
      </c>
      <c r="H145">
        <v>35.889366853978302</v>
      </c>
      <c r="I145">
        <v>5.3048268113167403</v>
      </c>
      <c r="J145">
        <v>1</v>
      </c>
      <c r="K145">
        <v>28</v>
      </c>
      <c r="L145">
        <v>2.8905529636309199E-2</v>
      </c>
      <c r="M145" t="s">
        <v>102</v>
      </c>
    </row>
    <row r="146" spans="1:13" x14ac:dyDescent="0.2">
      <c r="A146" t="s">
        <v>32</v>
      </c>
      <c r="B146">
        <v>0.105130741745031</v>
      </c>
      <c r="C146">
        <v>-3.6682416975903298E-2</v>
      </c>
      <c r="D146">
        <v>1.2701169126702E-2</v>
      </c>
      <c r="E146">
        <v>-2.8881134177471099</v>
      </c>
      <c r="F146">
        <v>0.54942373724673199</v>
      </c>
      <c r="G146">
        <v>1.97287450171303E-2</v>
      </c>
      <c r="H146">
        <v>27.8488944314335</v>
      </c>
      <c r="I146">
        <v>8.3411991137709194</v>
      </c>
      <c r="J146">
        <v>1</v>
      </c>
      <c r="K146">
        <v>71</v>
      </c>
      <c r="L146">
        <v>5.1338210408961903E-3</v>
      </c>
      <c r="M146" t="s">
        <v>103</v>
      </c>
    </row>
    <row r="147" spans="1:13" x14ac:dyDescent="0.2">
      <c r="A147" t="s">
        <v>32</v>
      </c>
      <c r="B147">
        <v>5.0837809818430101E-3</v>
      </c>
      <c r="C147">
        <v>3.85314138577913E-3</v>
      </c>
      <c r="D147">
        <v>8.1262175764603498E-3</v>
      </c>
      <c r="E147">
        <v>0.47416173016837798</v>
      </c>
      <c r="F147">
        <v>0.40223295919699198</v>
      </c>
      <c r="G147">
        <v>1.0855997761364099E-2</v>
      </c>
      <c r="H147">
        <v>37.051680374190703</v>
      </c>
      <c r="I147">
        <v>0.22482934635625901</v>
      </c>
      <c r="J147">
        <v>1</v>
      </c>
      <c r="K147">
        <v>44</v>
      </c>
      <c r="L147">
        <v>0.637729267681169</v>
      </c>
      <c r="M147" t="s">
        <v>104</v>
      </c>
    </row>
    <row r="148" spans="1:13" x14ac:dyDescent="0.2">
      <c r="A148" t="s">
        <v>32</v>
      </c>
      <c r="B148">
        <v>6.0563858484602599E-2</v>
      </c>
      <c r="C148">
        <v>-1.1145572881006901E-2</v>
      </c>
      <c r="D148">
        <v>6.8554715327289002E-3</v>
      </c>
      <c r="E148">
        <v>-1.6257923073265701</v>
      </c>
      <c r="F148">
        <v>0.50080764179917603</v>
      </c>
      <c r="G148">
        <v>8.92708756582067E-3</v>
      </c>
      <c r="H148">
        <v>56.0997792512565</v>
      </c>
      <c r="I148">
        <v>2.6432006265622299</v>
      </c>
      <c r="J148">
        <v>1</v>
      </c>
      <c r="K148">
        <v>41</v>
      </c>
      <c r="L148">
        <v>0.111657017761379</v>
      </c>
      <c r="M148" t="s">
        <v>105</v>
      </c>
    </row>
    <row r="149" spans="1:13" x14ac:dyDescent="0.2">
      <c r="A149" t="s">
        <v>33</v>
      </c>
      <c r="B149">
        <v>0.38242779171545699</v>
      </c>
      <c r="C149">
        <v>1.5596789957709399E-2</v>
      </c>
      <c r="D149">
        <v>5.4970880890404502E-3</v>
      </c>
      <c r="E149">
        <v>2.8372821583130099</v>
      </c>
      <c r="F149">
        <v>0.29431812623550901</v>
      </c>
      <c r="G149">
        <v>4.8952706564230298E-3</v>
      </c>
      <c r="H149">
        <v>60.122952721590103</v>
      </c>
      <c r="I149">
        <v>8.0501700458812007</v>
      </c>
      <c r="J149">
        <v>1</v>
      </c>
      <c r="K149">
        <v>13</v>
      </c>
      <c r="L149">
        <v>1.39939561634568E-2</v>
      </c>
      <c r="M149" t="s">
        <v>76</v>
      </c>
    </row>
    <row r="150" spans="1:13" x14ac:dyDescent="0.2">
      <c r="A150" t="s">
        <v>33</v>
      </c>
      <c r="B150">
        <v>0.34613302796517698</v>
      </c>
      <c r="C150">
        <v>9.8073704007680798E-2</v>
      </c>
      <c r="D150">
        <v>2.4210006755473999E-2</v>
      </c>
      <c r="E150">
        <v>4.0509573168750102</v>
      </c>
      <c r="F150">
        <v>0.67084689826726496</v>
      </c>
      <c r="G150">
        <v>2.9431191375212301E-2</v>
      </c>
      <c r="H150">
        <v>22.793739122374401</v>
      </c>
      <c r="I150">
        <v>16.410255183143001</v>
      </c>
      <c r="J150">
        <v>1</v>
      </c>
      <c r="K150">
        <v>31</v>
      </c>
      <c r="L150">
        <v>3.1699466266500698E-4</v>
      </c>
      <c r="M150" t="s">
        <v>78</v>
      </c>
    </row>
    <row r="151" spans="1:13" x14ac:dyDescent="0.2">
      <c r="A151" t="s">
        <v>33</v>
      </c>
      <c r="B151">
        <v>0.17483412373329199</v>
      </c>
      <c r="C151">
        <v>1.40367874330357E-2</v>
      </c>
      <c r="D151">
        <v>8.4577253177082895E-3</v>
      </c>
      <c r="E151">
        <v>1.6596409679617199</v>
      </c>
      <c r="F151">
        <v>0.63417650350060195</v>
      </c>
      <c r="G151">
        <v>7.5153543372329596E-3</v>
      </c>
      <c r="H151">
        <v>84.384112184668695</v>
      </c>
      <c r="I151">
        <v>2.7544081425371099</v>
      </c>
      <c r="J151">
        <v>1</v>
      </c>
      <c r="K151">
        <v>13</v>
      </c>
      <c r="L151">
        <v>0.120903060170577</v>
      </c>
      <c r="M151" t="s">
        <v>101</v>
      </c>
    </row>
    <row r="152" spans="1:13" x14ac:dyDescent="0.2">
      <c r="A152" t="s">
        <v>33</v>
      </c>
      <c r="B152">
        <v>0.18246103260983201</v>
      </c>
      <c r="C152">
        <v>6.1152533381059603E-2</v>
      </c>
      <c r="D152">
        <v>2.4462712124375199E-2</v>
      </c>
      <c r="E152">
        <v>2.4998263916994601</v>
      </c>
      <c r="F152">
        <v>1.03274539831676</v>
      </c>
      <c r="G152">
        <v>2.95171449465551E-2</v>
      </c>
      <c r="H152">
        <v>34.987984108445801</v>
      </c>
      <c r="I152">
        <v>6.2491319886371501</v>
      </c>
      <c r="J152">
        <v>1</v>
      </c>
      <c r="K152">
        <v>28</v>
      </c>
      <c r="L152">
        <v>1.8558317873199299E-2</v>
      </c>
      <c r="M152" t="s">
        <v>102</v>
      </c>
    </row>
    <row r="153" spans="1:13" x14ac:dyDescent="0.2">
      <c r="A153" t="s">
        <v>33</v>
      </c>
      <c r="B153">
        <v>0.23688602731778699</v>
      </c>
      <c r="C153">
        <v>-5.8651412570908501E-2</v>
      </c>
      <c r="D153">
        <v>1.336926746662E-2</v>
      </c>
      <c r="E153">
        <v>-4.3870326266826396</v>
      </c>
      <c r="F153">
        <v>0.57929665605330505</v>
      </c>
      <c r="G153">
        <v>2.00011682074639E-2</v>
      </c>
      <c r="H153">
        <v>28.9631410547873</v>
      </c>
      <c r="I153">
        <v>19.246055267577901</v>
      </c>
      <c r="J153">
        <v>1</v>
      </c>
      <c r="K153">
        <v>62</v>
      </c>
      <c r="L153" s="1">
        <v>4.5427098105770602E-5</v>
      </c>
      <c r="M153" t="s">
        <v>103</v>
      </c>
    </row>
    <row r="154" spans="1:13" x14ac:dyDescent="0.2">
      <c r="A154" t="s">
        <v>33</v>
      </c>
      <c r="B154">
        <v>1.4748909047293901E-2</v>
      </c>
      <c r="C154">
        <v>-4.6382885247997904E-3</v>
      </c>
      <c r="D154">
        <v>5.9940626552036601E-3</v>
      </c>
      <c r="E154">
        <v>-0.77381382071025295</v>
      </c>
      <c r="F154">
        <v>0.41501573229154198</v>
      </c>
      <c r="G154">
        <v>7.7046037375556502E-3</v>
      </c>
      <c r="H154">
        <v>53.865941251277</v>
      </c>
      <c r="I154">
        <v>0.59878782912210604</v>
      </c>
      <c r="J154">
        <v>1</v>
      </c>
      <c r="K154">
        <v>40</v>
      </c>
      <c r="L154">
        <v>0.44359046201268598</v>
      </c>
      <c r="M154" t="s">
        <v>104</v>
      </c>
    </row>
    <row r="155" spans="1:13" x14ac:dyDescent="0.2">
      <c r="A155" t="s">
        <v>33</v>
      </c>
      <c r="B155">
        <v>4.7607004652744297E-2</v>
      </c>
      <c r="C155">
        <v>-1.0933230613308999E-2</v>
      </c>
      <c r="D155">
        <v>7.7319881668306096E-3</v>
      </c>
      <c r="E155">
        <v>-1.4140257819083799</v>
      </c>
      <c r="F155">
        <v>0.50262453170611598</v>
      </c>
      <c r="G155">
        <v>1.0050923805225299E-2</v>
      </c>
      <c r="H155">
        <v>50.007794452168604</v>
      </c>
      <c r="I155">
        <v>1.99946891190169</v>
      </c>
      <c r="J155">
        <v>1</v>
      </c>
      <c r="K155">
        <v>40</v>
      </c>
      <c r="L155">
        <v>0.16509082722850499</v>
      </c>
      <c r="M155" t="s">
        <v>105</v>
      </c>
    </row>
    <row r="156" spans="1:13" x14ac:dyDescent="0.2">
      <c r="A156" t="s">
        <v>34</v>
      </c>
      <c r="B156">
        <v>0.41661129989156698</v>
      </c>
      <c r="C156">
        <v>1.4552289284378401E-2</v>
      </c>
      <c r="D156">
        <v>6.5087229118759296E-3</v>
      </c>
      <c r="E156">
        <v>2.23581330491518</v>
      </c>
      <c r="F156">
        <v>0.29477125930038001</v>
      </c>
      <c r="G156">
        <v>5.30606537985444E-3</v>
      </c>
      <c r="H156">
        <v>55.553642520037499</v>
      </c>
      <c r="I156">
        <v>4.9988611344356402</v>
      </c>
      <c r="J156">
        <v>1</v>
      </c>
      <c r="K156">
        <v>7</v>
      </c>
      <c r="L156">
        <v>6.0450129962684798E-2</v>
      </c>
      <c r="M156" t="s">
        <v>76</v>
      </c>
    </row>
    <row r="157" spans="1:13" x14ac:dyDescent="0.2">
      <c r="A157" t="s">
        <v>34</v>
      </c>
      <c r="B157">
        <v>9.6595705242995003E-2</v>
      </c>
      <c r="C157">
        <v>4.3965723895704197E-2</v>
      </c>
      <c r="D157">
        <v>2.6890965188966401E-2</v>
      </c>
      <c r="E157">
        <v>1.6349626570393201</v>
      </c>
      <c r="F157">
        <v>0.73351541113007401</v>
      </c>
      <c r="G157">
        <v>3.0303456009921102E-2</v>
      </c>
      <c r="H157">
        <v>24.205668518136299</v>
      </c>
      <c r="I157">
        <v>2.6731028899131202</v>
      </c>
      <c r="J157">
        <v>1</v>
      </c>
      <c r="K157">
        <v>25</v>
      </c>
      <c r="L157">
        <v>0.11458757158694199</v>
      </c>
      <c r="M157" t="s">
        <v>78</v>
      </c>
    </row>
    <row r="158" spans="1:13" x14ac:dyDescent="0.2">
      <c r="A158" t="s">
        <v>34</v>
      </c>
      <c r="B158">
        <v>6.10465320746681E-3</v>
      </c>
      <c r="C158">
        <v>2.83344867108611E-3</v>
      </c>
      <c r="D158">
        <v>1.2051300750786999E-2</v>
      </c>
      <c r="E158">
        <v>0.23511558873850799</v>
      </c>
      <c r="F158">
        <v>0.63773115248149503</v>
      </c>
      <c r="G158">
        <v>1.00096012847455E-2</v>
      </c>
      <c r="H158">
        <v>63.711943596933203</v>
      </c>
      <c r="I158">
        <v>5.5279340067853101E-2</v>
      </c>
      <c r="J158">
        <v>1</v>
      </c>
      <c r="K158">
        <v>9</v>
      </c>
      <c r="L158">
        <v>0.819381336203998</v>
      </c>
      <c r="M158" t="s">
        <v>101</v>
      </c>
    </row>
    <row r="159" spans="1:13" x14ac:dyDescent="0.2">
      <c r="A159" t="s">
        <v>34</v>
      </c>
      <c r="B159">
        <v>4.6072087212442797E-2</v>
      </c>
      <c r="C159">
        <v>3.4196544422159803E-2</v>
      </c>
      <c r="D159">
        <v>3.3955600071848301E-2</v>
      </c>
      <c r="E159">
        <v>1.0070958648883199</v>
      </c>
      <c r="F159">
        <v>1.05862633756671</v>
      </c>
      <c r="G159">
        <v>3.65800776181694E-2</v>
      </c>
      <c r="H159">
        <v>28.939969691067301</v>
      </c>
      <c r="I159">
        <v>1.01424208107512</v>
      </c>
      <c r="J159">
        <v>1</v>
      </c>
      <c r="K159">
        <v>21</v>
      </c>
      <c r="L159">
        <v>0.32535275833545602</v>
      </c>
      <c r="M159" t="s">
        <v>102</v>
      </c>
    </row>
    <row r="160" spans="1:13" x14ac:dyDescent="0.2">
      <c r="A160" t="s">
        <v>34</v>
      </c>
      <c r="B160">
        <v>6.5436044457637801E-2</v>
      </c>
      <c r="C160">
        <v>-1.75011877331584E-2</v>
      </c>
      <c r="D160">
        <v>9.26143812395319E-3</v>
      </c>
      <c r="E160">
        <v>-1.88968359977426</v>
      </c>
      <c r="F160">
        <v>0.50050327785676896</v>
      </c>
      <c r="G160">
        <v>1.31704207787313E-2</v>
      </c>
      <c r="H160">
        <v>38.002071935698901</v>
      </c>
      <c r="I160">
        <v>3.57090410725589</v>
      </c>
      <c r="J160">
        <v>1</v>
      </c>
      <c r="K160">
        <v>51</v>
      </c>
      <c r="L160">
        <v>6.4490790485556795E-2</v>
      </c>
      <c r="M160" t="s">
        <v>103</v>
      </c>
    </row>
    <row r="161" spans="1:13" x14ac:dyDescent="0.2">
      <c r="A161" t="s">
        <v>34</v>
      </c>
      <c r="B161">
        <v>8.1668446363086407E-3</v>
      </c>
      <c r="C161">
        <v>-2.9656748772355301E-3</v>
      </c>
      <c r="D161">
        <v>5.6050080900773699E-3</v>
      </c>
      <c r="E161">
        <v>-0.52911161403775897</v>
      </c>
      <c r="F161">
        <v>0.40567250100541602</v>
      </c>
      <c r="G161">
        <v>6.9421103695587799E-3</v>
      </c>
      <c r="H161">
        <v>58.436481042464202</v>
      </c>
      <c r="I161">
        <v>0.27995910010961</v>
      </c>
      <c r="J161">
        <v>1</v>
      </c>
      <c r="K161">
        <v>34</v>
      </c>
      <c r="L161">
        <v>0.60016575071586098</v>
      </c>
      <c r="M161" t="s">
        <v>104</v>
      </c>
    </row>
    <row r="162" spans="1:13" x14ac:dyDescent="0.2">
      <c r="A162" t="s">
        <v>34</v>
      </c>
      <c r="B162">
        <v>3.7439172823421798E-3</v>
      </c>
      <c r="C162">
        <v>-1.8993968624152701E-3</v>
      </c>
      <c r="D162">
        <v>5.4772567299950902E-3</v>
      </c>
      <c r="E162">
        <v>-0.34677886322428703</v>
      </c>
      <c r="F162">
        <v>0.48776561571299398</v>
      </c>
      <c r="G162">
        <v>6.7616046593725601E-3</v>
      </c>
      <c r="H162">
        <v>72.137553182273194</v>
      </c>
      <c r="I162">
        <v>0.120255579979132</v>
      </c>
      <c r="J162">
        <v>1</v>
      </c>
      <c r="K162">
        <v>32</v>
      </c>
      <c r="L162">
        <v>0.73102761782972903</v>
      </c>
      <c r="M162" t="s">
        <v>105</v>
      </c>
    </row>
    <row r="163" spans="1:13" x14ac:dyDescent="0.2">
      <c r="A163" t="s">
        <v>35</v>
      </c>
      <c r="B163">
        <v>0.34129423789424401</v>
      </c>
      <c r="C163">
        <v>1.8921711864521702E-2</v>
      </c>
      <c r="D163">
        <v>6.7872844187929901E-3</v>
      </c>
      <c r="E163">
        <v>2.7878177334266798</v>
      </c>
      <c r="F163">
        <v>0.29239671387810801</v>
      </c>
      <c r="G163">
        <v>6.38279216028435E-3</v>
      </c>
      <c r="H163">
        <v>45.810157457027699</v>
      </c>
      <c r="I163">
        <v>7.7719277148083297</v>
      </c>
      <c r="J163">
        <v>1</v>
      </c>
      <c r="K163">
        <v>15</v>
      </c>
      <c r="L163">
        <v>1.37945324310896E-2</v>
      </c>
      <c r="M163" t="s">
        <v>76</v>
      </c>
    </row>
    <row r="164" spans="1:13" x14ac:dyDescent="0.2">
      <c r="A164" t="s">
        <v>35</v>
      </c>
      <c r="B164">
        <v>0.32998510179006402</v>
      </c>
      <c r="C164">
        <v>0.103852839733459</v>
      </c>
      <c r="D164">
        <v>2.5378969348855501E-2</v>
      </c>
      <c r="E164">
        <v>4.09208263369222</v>
      </c>
      <c r="F164">
        <v>0.65293687009724799</v>
      </c>
      <c r="G164">
        <v>3.0842613703895499E-2</v>
      </c>
      <c r="H164">
        <v>21.169959082124802</v>
      </c>
      <c r="I164">
        <v>16.745140280965401</v>
      </c>
      <c r="J164">
        <v>1</v>
      </c>
      <c r="K164">
        <v>34</v>
      </c>
      <c r="L164">
        <v>2.4850318652821899E-4</v>
      </c>
      <c r="M164" t="s">
        <v>78</v>
      </c>
    </row>
    <row r="165" spans="1:13" x14ac:dyDescent="0.2">
      <c r="A165" t="s">
        <v>35</v>
      </c>
      <c r="B165">
        <v>0.66961166577897102</v>
      </c>
      <c r="C165">
        <v>2.7503731105483199E-2</v>
      </c>
      <c r="D165">
        <v>5.5770153127967098E-3</v>
      </c>
      <c r="E165">
        <v>4.931621945232</v>
      </c>
      <c r="F165">
        <v>0.620154613229985</v>
      </c>
      <c r="G165">
        <v>4.8813051251138696E-3</v>
      </c>
      <c r="H165">
        <v>127.04688548137401</v>
      </c>
      <c r="I165">
        <v>24.3208950106938</v>
      </c>
      <c r="J165">
        <v>1</v>
      </c>
      <c r="K165">
        <v>12</v>
      </c>
      <c r="L165">
        <v>3.4694472250796997E-4</v>
      </c>
      <c r="M165" t="s">
        <v>101</v>
      </c>
    </row>
    <row r="166" spans="1:13" x14ac:dyDescent="0.2">
      <c r="A166" t="s">
        <v>35</v>
      </c>
      <c r="B166">
        <v>1.3452352019364001E-2</v>
      </c>
      <c r="C166">
        <v>1.7710622516585599E-2</v>
      </c>
      <c r="D166">
        <v>2.8164026790063999E-2</v>
      </c>
      <c r="E166">
        <v>0.62883843452505805</v>
      </c>
      <c r="F166">
        <v>1.08658702128157</v>
      </c>
      <c r="G166">
        <v>3.4676228179585197E-2</v>
      </c>
      <c r="H166">
        <v>31.3352137278087</v>
      </c>
      <c r="I166">
        <v>0.39543777673596398</v>
      </c>
      <c r="J166">
        <v>1</v>
      </c>
      <c r="K166">
        <v>29</v>
      </c>
      <c r="L166">
        <v>0.53437712544929505</v>
      </c>
      <c r="M166" t="s">
        <v>102</v>
      </c>
    </row>
    <row r="167" spans="1:13" x14ac:dyDescent="0.2">
      <c r="A167" t="s">
        <v>35</v>
      </c>
      <c r="B167">
        <v>0.137801599994719</v>
      </c>
      <c r="C167">
        <v>-3.6579230378144E-2</v>
      </c>
      <c r="D167">
        <v>1.09360885975553E-2</v>
      </c>
      <c r="E167">
        <v>-3.34481840118973</v>
      </c>
      <c r="F167">
        <v>0.55250541857303503</v>
      </c>
      <c r="G167">
        <v>1.6557626399415399E-2</v>
      </c>
      <c r="H167">
        <v>33.368636617657998</v>
      </c>
      <c r="I167">
        <v>11.1878101369375</v>
      </c>
      <c r="J167">
        <v>1</v>
      </c>
      <c r="K167">
        <v>70</v>
      </c>
      <c r="L167">
        <v>1.3260280604656101E-3</v>
      </c>
      <c r="M167" t="s">
        <v>103</v>
      </c>
    </row>
    <row r="168" spans="1:13" x14ac:dyDescent="0.2">
      <c r="A168" t="s">
        <v>35</v>
      </c>
      <c r="B168">
        <v>7.8547446870018398E-2</v>
      </c>
      <c r="C168">
        <v>-1.1710957317309E-2</v>
      </c>
      <c r="D168">
        <v>6.1892525630706501E-3</v>
      </c>
      <c r="E168">
        <v>-1.8921440348362399</v>
      </c>
      <c r="F168">
        <v>0.42961821851477</v>
      </c>
      <c r="G168">
        <v>8.0347301665225496E-3</v>
      </c>
      <c r="H168">
        <v>53.470148917360603</v>
      </c>
      <c r="I168">
        <v>3.58020904856662</v>
      </c>
      <c r="J168">
        <v>1</v>
      </c>
      <c r="K168">
        <v>42</v>
      </c>
      <c r="L168">
        <v>6.5378873118746003E-2</v>
      </c>
      <c r="M168" t="s">
        <v>104</v>
      </c>
    </row>
    <row r="169" spans="1:13" x14ac:dyDescent="0.2">
      <c r="A169" t="s">
        <v>35</v>
      </c>
      <c r="B169">
        <v>0.23100603493056299</v>
      </c>
      <c r="C169">
        <v>-2.0797452460267599E-2</v>
      </c>
      <c r="D169">
        <v>5.9997056963841302E-3</v>
      </c>
      <c r="E169">
        <v>-3.46641210631409</v>
      </c>
      <c r="F169">
        <v>0.51645042461410196</v>
      </c>
      <c r="G169">
        <v>7.69723409240765E-3</v>
      </c>
      <c r="H169">
        <v>67.095585039243502</v>
      </c>
      <c r="I169">
        <v>12.016012890801001</v>
      </c>
      <c r="J169">
        <v>1</v>
      </c>
      <c r="K169">
        <v>40</v>
      </c>
      <c r="L169">
        <v>1.2743928307959E-3</v>
      </c>
      <c r="M169" t="s">
        <v>105</v>
      </c>
    </row>
    <row r="170" spans="1:13" x14ac:dyDescent="0.2">
      <c r="A170" t="s">
        <v>36</v>
      </c>
      <c r="B170">
        <v>0.24800260840986599</v>
      </c>
      <c r="C170">
        <v>2.0330874681270102E-2</v>
      </c>
      <c r="D170">
        <v>1.11953095465101E-2</v>
      </c>
      <c r="E170">
        <v>1.81601719870333</v>
      </c>
      <c r="F170">
        <v>0.289510986406878</v>
      </c>
      <c r="G170">
        <v>1.00875415910337E-2</v>
      </c>
      <c r="H170">
        <v>28.6998555390551</v>
      </c>
      <c r="I170">
        <v>3.2979184659863399</v>
      </c>
      <c r="J170">
        <v>1</v>
      </c>
      <c r="K170">
        <v>10</v>
      </c>
      <c r="L170">
        <v>9.9421342525743403E-2</v>
      </c>
      <c r="M170" t="s">
        <v>76</v>
      </c>
    </row>
    <row r="171" spans="1:13" x14ac:dyDescent="0.2">
      <c r="A171" t="s">
        <v>36</v>
      </c>
      <c r="B171">
        <v>0.38471834691370899</v>
      </c>
      <c r="C171">
        <v>0.132170261755296</v>
      </c>
      <c r="D171">
        <v>3.1038468542335901E-2</v>
      </c>
      <c r="E171">
        <v>4.2582726520484799</v>
      </c>
      <c r="F171">
        <v>0.61275085113698402</v>
      </c>
      <c r="G171">
        <v>3.7567308720732502E-2</v>
      </c>
      <c r="H171">
        <v>16.310746550732301</v>
      </c>
      <c r="I171">
        <v>18.132885979184</v>
      </c>
      <c r="J171">
        <v>1</v>
      </c>
      <c r="K171">
        <v>29</v>
      </c>
      <c r="L171">
        <v>1.9761100967949699E-4</v>
      </c>
      <c r="M171" t="s">
        <v>78</v>
      </c>
    </row>
    <row r="172" spans="1:13" x14ac:dyDescent="0.2">
      <c r="A172" t="s">
        <v>36</v>
      </c>
      <c r="B172">
        <v>0.46473285145204601</v>
      </c>
      <c r="C172">
        <v>4.6760272620122501E-2</v>
      </c>
      <c r="D172">
        <v>1.39183888821919E-2</v>
      </c>
      <c r="E172">
        <v>3.3596038317301802</v>
      </c>
      <c r="F172">
        <v>0.60400245332723601</v>
      </c>
      <c r="G172">
        <v>1.22102007524216E-2</v>
      </c>
      <c r="H172">
        <v>49.467037076147001</v>
      </c>
      <c r="I172">
        <v>11.286937906175901</v>
      </c>
      <c r="J172">
        <v>1</v>
      </c>
      <c r="K172">
        <v>13</v>
      </c>
      <c r="L172">
        <v>5.12519047142692E-3</v>
      </c>
      <c r="M172" t="s">
        <v>101</v>
      </c>
    </row>
    <row r="173" spans="1:13" x14ac:dyDescent="0.2">
      <c r="A173" t="s">
        <v>36</v>
      </c>
      <c r="B173">
        <v>0.20749577535927899</v>
      </c>
      <c r="C173">
        <v>9.4679367482331203E-2</v>
      </c>
      <c r="D173">
        <v>3.77699048395067E-2</v>
      </c>
      <c r="E173">
        <v>2.5067409590955099</v>
      </c>
      <c r="F173">
        <v>0.96884228982256604</v>
      </c>
      <c r="G173">
        <v>4.4382836884931803E-2</v>
      </c>
      <c r="H173">
        <v>21.829210519697401</v>
      </c>
      <c r="I173">
        <v>6.2837502360070099</v>
      </c>
      <c r="J173">
        <v>1</v>
      </c>
      <c r="K173">
        <v>24</v>
      </c>
      <c r="L173">
        <v>1.936129490819E-2</v>
      </c>
      <c r="M173" t="s">
        <v>102</v>
      </c>
    </row>
    <row r="174" spans="1:13" x14ac:dyDescent="0.2">
      <c r="A174" t="s">
        <v>36</v>
      </c>
      <c r="B174" s="1">
        <v>6.2130773079677104E-7</v>
      </c>
      <c r="C174" s="1">
        <v>9.6575044541981001E-5</v>
      </c>
      <c r="D174">
        <v>1.6228335426156301E-2</v>
      </c>
      <c r="E174">
        <v>5.9510135824728302E-3</v>
      </c>
      <c r="F174">
        <v>0.49205580623421002</v>
      </c>
      <c r="G174">
        <v>2.3916609576976201E-2</v>
      </c>
      <c r="H174">
        <v>20.5738110433469</v>
      </c>
      <c r="I174" s="1">
        <v>3.54145626587575E-5</v>
      </c>
      <c r="J174">
        <v>1</v>
      </c>
      <c r="K174">
        <v>57</v>
      </c>
      <c r="L174">
        <v>0.99527258540207497</v>
      </c>
      <c r="M174" t="s">
        <v>103</v>
      </c>
    </row>
    <row r="175" spans="1:13" x14ac:dyDescent="0.2">
      <c r="A175" t="s">
        <v>36</v>
      </c>
      <c r="B175">
        <v>8.7294393516334307E-2</v>
      </c>
      <c r="C175">
        <v>2.6143277230258902E-2</v>
      </c>
      <c r="D175">
        <v>1.40890256906476E-2</v>
      </c>
      <c r="E175">
        <v>1.8555773695276101</v>
      </c>
      <c r="F175">
        <v>0.37890936862539398</v>
      </c>
      <c r="G175">
        <v>1.7718829523923001E-2</v>
      </c>
      <c r="H175">
        <v>21.384559748363301</v>
      </c>
      <c r="I175">
        <v>3.4431673743030502</v>
      </c>
      <c r="J175">
        <v>1</v>
      </c>
      <c r="K175">
        <v>36</v>
      </c>
      <c r="L175">
        <v>7.1715778445321801E-2</v>
      </c>
      <c r="M175" t="s">
        <v>104</v>
      </c>
    </row>
    <row r="176" spans="1:13" x14ac:dyDescent="0.2">
      <c r="A176" t="s">
        <v>36</v>
      </c>
      <c r="B176">
        <v>0.21651774358745099</v>
      </c>
      <c r="C176">
        <v>-3.1730128757627499E-2</v>
      </c>
      <c r="D176">
        <v>9.9229044362934699E-3</v>
      </c>
      <c r="E176">
        <v>-3.19766545786465</v>
      </c>
      <c r="F176">
        <v>0.52752450723655897</v>
      </c>
      <c r="G176">
        <v>1.2876358236209799E-2</v>
      </c>
      <c r="H176">
        <v>40.968455331810901</v>
      </c>
      <c r="I176">
        <v>10.2250643804208</v>
      </c>
      <c r="J176">
        <v>1</v>
      </c>
      <c r="K176">
        <v>37</v>
      </c>
      <c r="L176">
        <v>2.83681045521061E-3</v>
      </c>
      <c r="M176" t="s">
        <v>105</v>
      </c>
    </row>
    <row r="177" spans="1:13" x14ac:dyDescent="0.2">
      <c r="A177" t="s">
        <v>37</v>
      </c>
      <c r="B177">
        <v>0.248454538690737</v>
      </c>
      <c r="C177">
        <v>8.0092942545824993E-3</v>
      </c>
      <c r="D177">
        <v>4.4050253334270003E-3</v>
      </c>
      <c r="E177">
        <v>1.8182175239277201</v>
      </c>
      <c r="F177">
        <v>0.30035852909821997</v>
      </c>
      <c r="G177">
        <v>3.7261919631145701E-3</v>
      </c>
      <c r="H177">
        <v>80.607368614246795</v>
      </c>
      <c r="I177">
        <v>3.3059149643177301</v>
      </c>
      <c r="J177">
        <v>1</v>
      </c>
      <c r="K177">
        <v>10</v>
      </c>
      <c r="L177">
        <v>9.9064842466411701E-2</v>
      </c>
      <c r="M177" t="s">
        <v>76</v>
      </c>
    </row>
    <row r="178" spans="1:13" x14ac:dyDescent="0.2">
      <c r="A178" t="s">
        <v>37</v>
      </c>
      <c r="B178">
        <v>7.2059205441161204E-3</v>
      </c>
      <c r="C178">
        <v>-1.31239393383254E-2</v>
      </c>
      <c r="D178">
        <v>3.02108117754596E-2</v>
      </c>
      <c r="E178">
        <v>-0.43441200573716698</v>
      </c>
      <c r="F178">
        <v>0.79160258454914001</v>
      </c>
      <c r="G178">
        <v>3.4059715350480399E-2</v>
      </c>
      <c r="H178">
        <v>23.241608933116801</v>
      </c>
      <c r="I178">
        <v>0.18871379072858799</v>
      </c>
      <c r="J178">
        <v>1</v>
      </c>
      <c r="K178">
        <v>26</v>
      </c>
      <c r="L178">
        <v>0.66757331297051203</v>
      </c>
      <c r="M178" t="s">
        <v>78</v>
      </c>
    </row>
    <row r="179" spans="1:13" x14ac:dyDescent="0.2">
      <c r="A179" t="s">
        <v>37</v>
      </c>
      <c r="B179">
        <v>1.6541349321027798E-2</v>
      </c>
      <c r="C179">
        <v>6.0562935140772304E-3</v>
      </c>
      <c r="D179">
        <v>1.47672456927388E-2</v>
      </c>
      <c r="E179">
        <v>0.41011666224631099</v>
      </c>
      <c r="F179">
        <v>0.63635283144442001</v>
      </c>
      <c r="G179">
        <v>1.2104761316941701E-2</v>
      </c>
      <c r="H179">
        <v>52.570456763470901</v>
      </c>
      <c r="I179">
        <v>0.168195676652067</v>
      </c>
      <c r="J179">
        <v>1</v>
      </c>
      <c r="K179">
        <v>10</v>
      </c>
      <c r="L179">
        <v>0.690368550754208</v>
      </c>
      <c r="M179" t="s">
        <v>101</v>
      </c>
    </row>
    <row r="180" spans="1:13" x14ac:dyDescent="0.2">
      <c r="A180" t="s">
        <v>37</v>
      </c>
      <c r="B180">
        <v>7.5956391890040706E-2</v>
      </c>
      <c r="C180">
        <v>4.81287284896635E-2</v>
      </c>
      <c r="D180">
        <v>3.6631846544624397E-2</v>
      </c>
      <c r="E180">
        <v>1.31384936959249</v>
      </c>
      <c r="F180">
        <v>1.0360378928267899</v>
      </c>
      <c r="G180">
        <v>3.8950375400724199E-2</v>
      </c>
      <c r="H180">
        <v>26.598919321520299</v>
      </c>
      <c r="I180">
        <v>1.7262001659785799</v>
      </c>
      <c r="J180">
        <v>1</v>
      </c>
      <c r="K180">
        <v>21</v>
      </c>
      <c r="L180">
        <v>0.203069619608197</v>
      </c>
      <c r="M180" t="s">
        <v>102</v>
      </c>
    </row>
    <row r="181" spans="1:13" x14ac:dyDescent="0.2">
      <c r="A181" t="s">
        <v>37</v>
      </c>
      <c r="B181">
        <v>6.8669390609527203E-2</v>
      </c>
      <c r="C181">
        <v>-2.04898061081073E-2</v>
      </c>
      <c r="D181">
        <v>1.00835667375061E-2</v>
      </c>
      <c r="E181">
        <v>-2.0319998509946799</v>
      </c>
      <c r="F181">
        <v>0.50331244501463501</v>
      </c>
      <c r="G181">
        <v>1.44926577961278E-2</v>
      </c>
      <c r="H181">
        <v>34.728788335091501</v>
      </c>
      <c r="I181">
        <v>4.1290233944423704</v>
      </c>
      <c r="J181">
        <v>1</v>
      </c>
      <c r="K181">
        <v>56</v>
      </c>
      <c r="L181">
        <v>4.6907762435973901E-2</v>
      </c>
      <c r="M181" t="s">
        <v>103</v>
      </c>
    </row>
    <row r="182" spans="1:13" x14ac:dyDescent="0.2">
      <c r="A182" t="s">
        <v>37</v>
      </c>
      <c r="B182" s="1">
        <v>6.9163519056795593E-5</v>
      </c>
      <c r="C182">
        <v>-2.7175693646793603E-4</v>
      </c>
      <c r="D182">
        <v>5.5232290715105598E-3</v>
      </c>
      <c r="E182">
        <v>-4.9202546725734903E-2</v>
      </c>
      <c r="F182">
        <v>0.40209244749197898</v>
      </c>
      <c r="G182">
        <v>6.8847373764128602E-3</v>
      </c>
      <c r="H182">
        <v>58.403454701053597</v>
      </c>
      <c r="I182">
        <v>2.4208906043012902E-3</v>
      </c>
      <c r="J182">
        <v>1</v>
      </c>
      <c r="K182">
        <v>35</v>
      </c>
      <c r="L182">
        <v>0.96103759473559403</v>
      </c>
      <c r="M182" t="s">
        <v>104</v>
      </c>
    </row>
    <row r="183" spans="1:13" x14ac:dyDescent="0.2">
      <c r="A183" t="s">
        <v>37</v>
      </c>
      <c r="B183">
        <v>9.5157276264417397E-4</v>
      </c>
      <c r="C183">
        <v>-1.22730282061961E-3</v>
      </c>
      <c r="D183">
        <v>6.8200026400833504E-3</v>
      </c>
      <c r="E183">
        <v>-0.179956355648069</v>
      </c>
      <c r="F183">
        <v>0.48686021807040197</v>
      </c>
      <c r="G183">
        <v>8.4302253121550808E-3</v>
      </c>
      <c r="H183">
        <v>57.751744472170202</v>
      </c>
      <c r="I183">
        <v>3.23842899381446E-2</v>
      </c>
      <c r="J183">
        <v>1</v>
      </c>
      <c r="K183">
        <v>34</v>
      </c>
      <c r="L183">
        <v>0.85825510868132704</v>
      </c>
      <c r="M183" t="s">
        <v>105</v>
      </c>
    </row>
    <row r="184" spans="1:13" x14ac:dyDescent="0.2">
      <c r="A184" t="s">
        <v>38</v>
      </c>
      <c r="B184">
        <v>8.8022507180619797E-2</v>
      </c>
      <c r="C184">
        <v>9.3697680915485904E-3</v>
      </c>
      <c r="D184">
        <v>7.5398732199498698E-3</v>
      </c>
      <c r="E184">
        <v>1.24269570829878</v>
      </c>
      <c r="F184">
        <v>0.30179752045681002</v>
      </c>
      <c r="G184">
        <v>7.3793357532983602E-3</v>
      </c>
      <c r="H184">
        <v>40.897654009294101</v>
      </c>
      <c r="I184">
        <v>1.54429262342426</v>
      </c>
      <c r="J184">
        <v>1</v>
      </c>
      <c r="K184">
        <v>16</v>
      </c>
      <c r="L184">
        <v>0.23188462386497799</v>
      </c>
      <c r="M184" t="s">
        <v>76</v>
      </c>
    </row>
    <row r="185" spans="1:13" x14ac:dyDescent="0.2">
      <c r="A185" t="s">
        <v>38</v>
      </c>
      <c r="B185">
        <v>0.32681977324308298</v>
      </c>
      <c r="C185">
        <v>0.111086830238393</v>
      </c>
      <c r="D185">
        <v>2.6571913971039099E-2</v>
      </c>
      <c r="E185">
        <v>4.1806107892516797</v>
      </c>
      <c r="F185">
        <v>0.63828570406248397</v>
      </c>
      <c r="G185">
        <v>3.30113048620512E-2</v>
      </c>
      <c r="H185">
        <v>19.335367284927798</v>
      </c>
      <c r="I185">
        <v>17.477506571207499</v>
      </c>
      <c r="J185">
        <v>1</v>
      </c>
      <c r="K185">
        <v>36</v>
      </c>
      <c r="L185">
        <v>1.77375947872091E-4</v>
      </c>
      <c r="M185" t="s">
        <v>78</v>
      </c>
    </row>
    <row r="186" spans="1:13" x14ac:dyDescent="0.2">
      <c r="A186" t="s">
        <v>38</v>
      </c>
      <c r="B186">
        <v>0.61009341872682599</v>
      </c>
      <c r="C186">
        <v>3.0210069724335601E-2</v>
      </c>
      <c r="D186">
        <v>6.6982625161791801E-3</v>
      </c>
      <c r="E186">
        <v>4.5101352255701102</v>
      </c>
      <c r="F186">
        <v>0.61791842820063703</v>
      </c>
      <c r="G186">
        <v>5.9887655811013104E-3</v>
      </c>
      <c r="H186">
        <v>103.179598505341</v>
      </c>
      <c r="I186">
        <v>20.3413197529282</v>
      </c>
      <c r="J186">
        <v>1</v>
      </c>
      <c r="K186">
        <v>13</v>
      </c>
      <c r="L186">
        <v>5.8631734309881004E-4</v>
      </c>
      <c r="M186" t="s">
        <v>101</v>
      </c>
    </row>
    <row r="187" spans="1:13" x14ac:dyDescent="0.2">
      <c r="A187" t="s">
        <v>38</v>
      </c>
      <c r="B187">
        <v>5.0045307077308298E-3</v>
      </c>
      <c r="C187">
        <v>1.0028877932871201E-2</v>
      </c>
      <c r="D187">
        <v>2.4998055534219001E-2</v>
      </c>
      <c r="E187">
        <v>0.40118632103776802</v>
      </c>
      <c r="F187">
        <v>1.09060243810935</v>
      </c>
      <c r="G187">
        <v>3.1283270998947801E-2</v>
      </c>
      <c r="H187">
        <v>34.862161253726697</v>
      </c>
      <c r="I187">
        <v>0.16095046418783801</v>
      </c>
      <c r="J187">
        <v>1</v>
      </c>
      <c r="K187">
        <v>32</v>
      </c>
      <c r="L187">
        <v>0.69094945568853405</v>
      </c>
      <c r="M187" t="s">
        <v>102</v>
      </c>
    </row>
    <row r="188" spans="1:13" x14ac:dyDescent="0.2">
      <c r="A188" t="s">
        <v>38</v>
      </c>
      <c r="B188">
        <v>9.7647201769938005E-2</v>
      </c>
      <c r="C188">
        <v>-3.0192464862643899E-2</v>
      </c>
      <c r="D188">
        <v>1.07422541475052E-2</v>
      </c>
      <c r="E188">
        <v>-2.8106265638535399</v>
      </c>
      <c r="F188">
        <v>0.54578718069822696</v>
      </c>
      <c r="G188">
        <v>1.6310322262383999E-2</v>
      </c>
      <c r="H188">
        <v>33.462685281023496</v>
      </c>
      <c r="I188">
        <v>7.8996216814391396</v>
      </c>
      <c r="J188">
        <v>1</v>
      </c>
      <c r="K188">
        <v>73</v>
      </c>
      <c r="L188">
        <v>6.34374837430789E-3</v>
      </c>
      <c r="M188" t="s">
        <v>103</v>
      </c>
    </row>
    <row r="189" spans="1:13" x14ac:dyDescent="0.2">
      <c r="A189" t="s">
        <v>38</v>
      </c>
      <c r="B189">
        <v>7.1290886000123704E-2</v>
      </c>
      <c r="C189">
        <v>-1.23153652084579E-2</v>
      </c>
      <c r="D189">
        <v>6.6261900204540296E-3</v>
      </c>
      <c r="E189">
        <v>-1.8585891998935</v>
      </c>
      <c r="F189">
        <v>0.43022005360242099</v>
      </c>
      <c r="G189">
        <v>8.7864138846297599E-3</v>
      </c>
      <c r="H189">
        <v>48.9642372020528</v>
      </c>
      <c r="I189">
        <v>3.4543538139607399</v>
      </c>
      <c r="J189">
        <v>1</v>
      </c>
      <c r="K189">
        <v>45</v>
      </c>
      <c r="L189">
        <v>6.9633333506894393E-2</v>
      </c>
      <c r="M189" t="s">
        <v>104</v>
      </c>
    </row>
    <row r="190" spans="1:13" x14ac:dyDescent="0.2">
      <c r="A190" t="s">
        <v>38</v>
      </c>
      <c r="B190">
        <v>0.35010872140794302</v>
      </c>
      <c r="C190">
        <v>-3.8773940529115897E-2</v>
      </c>
      <c r="D190">
        <v>8.1514371503100397E-3</v>
      </c>
      <c r="E190">
        <v>-4.7566999308387201</v>
      </c>
      <c r="F190">
        <v>0.539826523511026</v>
      </c>
      <c r="G190">
        <v>1.06115404003425E-2</v>
      </c>
      <c r="H190">
        <v>50.871645693739602</v>
      </c>
      <c r="I190">
        <v>22.626194232041399</v>
      </c>
      <c r="J190">
        <v>1</v>
      </c>
      <c r="K190">
        <v>42</v>
      </c>
      <c r="L190" s="1">
        <v>2.3362374007798199E-5</v>
      </c>
      <c r="M190" t="s">
        <v>105</v>
      </c>
    </row>
    <row r="191" spans="1:13" x14ac:dyDescent="0.2">
      <c r="A191" t="s">
        <v>39</v>
      </c>
      <c r="B191">
        <v>0.35627640685650003</v>
      </c>
      <c r="C191">
        <v>9.4968373001157406E-3</v>
      </c>
      <c r="D191">
        <v>4.5132582612489903E-3</v>
      </c>
      <c r="E191">
        <v>2.1042087003210002</v>
      </c>
      <c r="F191">
        <v>0.29905179719028002</v>
      </c>
      <c r="G191">
        <v>3.5026922743316398E-3</v>
      </c>
      <c r="H191">
        <v>85.377696288590897</v>
      </c>
      <c r="I191">
        <v>4.4276942545068803</v>
      </c>
      <c r="J191">
        <v>1</v>
      </c>
      <c r="K191">
        <v>8</v>
      </c>
      <c r="L191">
        <v>6.8487649541807E-2</v>
      </c>
      <c r="M191" t="s">
        <v>76</v>
      </c>
    </row>
    <row r="192" spans="1:13" x14ac:dyDescent="0.2">
      <c r="A192" t="s">
        <v>39</v>
      </c>
      <c r="B192">
        <v>2.58894908163858E-2</v>
      </c>
      <c r="C192">
        <v>-2.5080503992738801E-2</v>
      </c>
      <c r="D192">
        <v>3.3571362838346899E-2</v>
      </c>
      <c r="E192">
        <v>-0.74708030512513701</v>
      </c>
      <c r="F192">
        <v>0.81015175765930003</v>
      </c>
      <c r="G192">
        <v>3.52476585286376E-2</v>
      </c>
      <c r="H192">
        <v>22.984555328719999</v>
      </c>
      <c r="I192">
        <v>0.55812898230586805</v>
      </c>
      <c r="J192">
        <v>1</v>
      </c>
      <c r="K192">
        <v>21</v>
      </c>
      <c r="L192">
        <v>0.463298487213676</v>
      </c>
      <c r="M192" t="s">
        <v>78</v>
      </c>
    </row>
    <row r="193" spans="1:13" x14ac:dyDescent="0.2">
      <c r="A193" t="s">
        <v>39</v>
      </c>
      <c r="B193">
        <v>2.29289289536466E-2</v>
      </c>
      <c r="C193">
        <v>-4.2320602360856304E-3</v>
      </c>
      <c r="D193">
        <v>9.2087732414165707E-3</v>
      </c>
      <c r="E193">
        <v>-0.459568297007454</v>
      </c>
      <c r="F193">
        <v>0.64295133969942697</v>
      </c>
      <c r="G193">
        <v>7.4608054564920699E-3</v>
      </c>
      <c r="H193">
        <v>86.177202106236294</v>
      </c>
      <c r="I193">
        <v>0.21120301961435201</v>
      </c>
      <c r="J193">
        <v>1</v>
      </c>
      <c r="K193">
        <v>9</v>
      </c>
      <c r="L193">
        <v>0.65672536919661695</v>
      </c>
      <c r="M193" t="s">
        <v>101</v>
      </c>
    </row>
    <row r="194" spans="1:13" x14ac:dyDescent="0.2">
      <c r="A194" t="s">
        <v>39</v>
      </c>
      <c r="B194">
        <v>2.8906518456127701E-3</v>
      </c>
      <c r="C194">
        <v>8.6327083199313707E-3</v>
      </c>
      <c r="D194">
        <v>3.4987339565262801E-2</v>
      </c>
      <c r="E194">
        <v>0.24673806088709799</v>
      </c>
      <c r="F194">
        <v>1.0630732474976501</v>
      </c>
      <c r="G194">
        <v>3.7112208267032099E-2</v>
      </c>
      <c r="H194">
        <v>28.644839451443001</v>
      </c>
      <c r="I194">
        <v>6.0879670690309397E-2</v>
      </c>
      <c r="J194">
        <v>1</v>
      </c>
      <c r="K194">
        <v>21</v>
      </c>
      <c r="L194">
        <v>0.80750693906591098</v>
      </c>
      <c r="M194" t="s">
        <v>102</v>
      </c>
    </row>
    <row r="195" spans="1:13" x14ac:dyDescent="0.2">
      <c r="A195" t="s">
        <v>39</v>
      </c>
      <c r="B195">
        <v>2.1499751515705399E-2</v>
      </c>
      <c r="C195">
        <v>-1.44221398080148E-2</v>
      </c>
      <c r="D195">
        <v>1.37596836456745E-2</v>
      </c>
      <c r="E195">
        <v>-1.0481447233380601</v>
      </c>
      <c r="F195">
        <v>0.494883731305436</v>
      </c>
      <c r="G195">
        <v>1.96856156283917E-2</v>
      </c>
      <c r="H195">
        <v>25.139357622714499</v>
      </c>
      <c r="I195">
        <v>1.09860736106142</v>
      </c>
      <c r="J195">
        <v>1</v>
      </c>
      <c r="K195">
        <v>50</v>
      </c>
      <c r="L195">
        <v>0.29961222411143601</v>
      </c>
      <c r="M195" t="s">
        <v>103</v>
      </c>
    </row>
    <row r="196" spans="1:13" x14ac:dyDescent="0.2">
      <c r="A196" t="s">
        <v>39</v>
      </c>
      <c r="B196">
        <v>0.131254660049553</v>
      </c>
      <c r="C196">
        <v>-1.5726955913143398E-2</v>
      </c>
      <c r="D196">
        <v>7.04330633594591E-3</v>
      </c>
      <c r="E196">
        <v>-2.2328939226851499</v>
      </c>
      <c r="F196">
        <v>0.42334294712813902</v>
      </c>
      <c r="G196">
        <v>8.6762792931087806E-3</v>
      </c>
      <c r="H196">
        <v>48.793144253019101</v>
      </c>
      <c r="I196">
        <v>4.9858152699642897</v>
      </c>
      <c r="J196">
        <v>1</v>
      </c>
      <c r="K196">
        <v>33</v>
      </c>
      <c r="L196">
        <v>3.2455275689051599E-2</v>
      </c>
      <c r="M196" t="s">
        <v>104</v>
      </c>
    </row>
    <row r="197" spans="1:13" x14ac:dyDescent="0.2">
      <c r="A197" t="s">
        <v>39</v>
      </c>
      <c r="B197">
        <v>3.5415985242241703E-2</v>
      </c>
      <c r="C197">
        <v>7.3951203217445796E-3</v>
      </c>
      <c r="D197">
        <v>6.9316202828055701E-3</v>
      </c>
      <c r="E197">
        <v>1.0668674884123099</v>
      </c>
      <c r="F197">
        <v>0.47615663792409602</v>
      </c>
      <c r="G197">
        <v>8.3391938410383708E-3</v>
      </c>
      <c r="H197">
        <v>57.098641307611899</v>
      </c>
      <c r="I197">
        <v>1.1382062378311499</v>
      </c>
      <c r="J197">
        <v>1</v>
      </c>
      <c r="K197">
        <v>31</v>
      </c>
      <c r="L197">
        <v>0.29427020618524402</v>
      </c>
      <c r="M197" t="s">
        <v>105</v>
      </c>
    </row>
    <row r="198" spans="1:13" x14ac:dyDescent="0.2">
      <c r="A198" t="s">
        <v>40</v>
      </c>
      <c r="B198">
        <v>0.34722753926907002</v>
      </c>
      <c r="C198">
        <v>1.4487222654092E-2</v>
      </c>
      <c r="D198">
        <v>5.5091841509767401E-3</v>
      </c>
      <c r="E198">
        <v>2.6296493740409002</v>
      </c>
      <c r="F198">
        <v>0.29469048028716299</v>
      </c>
      <c r="G198">
        <v>4.9572131703428304E-3</v>
      </c>
      <c r="H198">
        <v>59.446804113687797</v>
      </c>
      <c r="I198">
        <v>6.9150558303937704</v>
      </c>
      <c r="J198">
        <v>1</v>
      </c>
      <c r="K198">
        <v>13</v>
      </c>
      <c r="L198">
        <v>2.0801262820340598E-2</v>
      </c>
      <c r="M198" t="s">
        <v>76</v>
      </c>
    </row>
    <row r="199" spans="1:13" x14ac:dyDescent="0.2">
      <c r="A199" t="s">
        <v>40</v>
      </c>
      <c r="B199">
        <v>0.30237816248329102</v>
      </c>
      <c r="C199">
        <v>9.0641905566847494E-2</v>
      </c>
      <c r="D199">
        <v>2.3611544159994301E-2</v>
      </c>
      <c r="E199">
        <v>3.8388808860889498</v>
      </c>
      <c r="F199">
        <v>0.66997120365811003</v>
      </c>
      <c r="G199">
        <v>2.94606545680079E-2</v>
      </c>
      <c r="H199">
        <v>22.741219211933199</v>
      </c>
      <c r="I199">
        <v>14.737006457579101</v>
      </c>
      <c r="J199">
        <v>1</v>
      </c>
      <c r="K199">
        <v>34</v>
      </c>
      <c r="L199">
        <v>5.1257557396136805E-4</v>
      </c>
      <c r="M199" t="s">
        <v>78</v>
      </c>
    </row>
    <row r="200" spans="1:13" x14ac:dyDescent="0.2">
      <c r="A200" t="s">
        <v>40</v>
      </c>
      <c r="B200">
        <v>1.6428733332805801E-2</v>
      </c>
      <c r="C200">
        <v>5.5223841710298396E-3</v>
      </c>
      <c r="D200">
        <v>1.1851022312427901E-2</v>
      </c>
      <c r="E200">
        <v>0.46598377974857602</v>
      </c>
      <c r="F200">
        <v>0.64222628785052405</v>
      </c>
      <c r="G200">
        <v>1.05948872168663E-2</v>
      </c>
      <c r="H200">
        <v>60.616623349057001</v>
      </c>
      <c r="I200">
        <v>0.21714088298874801</v>
      </c>
      <c r="J200">
        <v>1</v>
      </c>
      <c r="K200">
        <v>13</v>
      </c>
      <c r="L200">
        <v>0.64893834399433803</v>
      </c>
      <c r="M200" t="s">
        <v>101</v>
      </c>
    </row>
    <row r="201" spans="1:13" x14ac:dyDescent="0.2">
      <c r="A201" t="s">
        <v>40</v>
      </c>
      <c r="B201">
        <v>0.16148282171234099</v>
      </c>
      <c r="C201">
        <v>5.8669652294002402E-2</v>
      </c>
      <c r="D201">
        <v>2.4826033252052598E-2</v>
      </c>
      <c r="E201">
        <v>2.36323103648271</v>
      </c>
      <c r="F201">
        <v>1.0259386940094699</v>
      </c>
      <c r="G201">
        <v>3.0481149697848198E-2</v>
      </c>
      <c r="H201">
        <v>33.658136395094601</v>
      </c>
      <c r="I201">
        <v>5.5848609317952098</v>
      </c>
      <c r="J201">
        <v>1</v>
      </c>
      <c r="K201">
        <v>29</v>
      </c>
      <c r="L201">
        <v>2.5034634078176299E-2</v>
      </c>
      <c r="M201" t="s">
        <v>102</v>
      </c>
    </row>
    <row r="202" spans="1:13" x14ac:dyDescent="0.2">
      <c r="A202" t="s">
        <v>40</v>
      </c>
      <c r="B202">
        <v>0.148018165912151</v>
      </c>
      <c r="C202">
        <v>-4.4573545721199197E-2</v>
      </c>
      <c r="D202">
        <v>1.28739048610513E-2</v>
      </c>
      <c r="E202">
        <v>-3.4623174710613198</v>
      </c>
      <c r="F202">
        <v>0.55547370831106302</v>
      </c>
      <c r="G202">
        <v>1.9772034457201201E-2</v>
      </c>
      <c r="H202">
        <v>28.093907559864299</v>
      </c>
      <c r="I202">
        <v>11.9876422704164</v>
      </c>
      <c r="J202">
        <v>1</v>
      </c>
      <c r="K202">
        <v>69</v>
      </c>
      <c r="L202">
        <v>9.2380103543308304E-4</v>
      </c>
      <c r="M202" t="s">
        <v>103</v>
      </c>
    </row>
    <row r="203" spans="1:13" x14ac:dyDescent="0.2">
      <c r="A203" t="s">
        <v>40</v>
      </c>
      <c r="B203">
        <v>5.2149121059699301E-2</v>
      </c>
      <c r="C203">
        <v>1.03824363322319E-2</v>
      </c>
      <c r="D203">
        <v>6.9127979010549104E-3</v>
      </c>
      <c r="E203">
        <v>1.5019152130351701</v>
      </c>
      <c r="F203">
        <v>0.39392190036270502</v>
      </c>
      <c r="G203">
        <v>8.9691597063724197E-3</v>
      </c>
      <c r="H203">
        <v>43.919599300125199</v>
      </c>
      <c r="I203">
        <v>2.2557493071463801</v>
      </c>
      <c r="J203">
        <v>1</v>
      </c>
      <c r="K203">
        <v>41</v>
      </c>
      <c r="L203">
        <v>0.14078230963499</v>
      </c>
      <c r="M203" t="s">
        <v>104</v>
      </c>
    </row>
    <row r="204" spans="1:13" x14ac:dyDescent="0.2">
      <c r="A204" t="s">
        <v>40</v>
      </c>
      <c r="B204">
        <v>1.15868953987933E-2</v>
      </c>
      <c r="C204">
        <v>-4.3699676019180204E-3</v>
      </c>
      <c r="D204">
        <v>6.3033582815573601E-3</v>
      </c>
      <c r="E204">
        <v>-0.69327609295252401</v>
      </c>
      <c r="F204">
        <v>0.49291533900619</v>
      </c>
      <c r="G204">
        <v>8.2423250441291708E-3</v>
      </c>
      <c r="H204">
        <v>59.8029483631299</v>
      </c>
      <c r="I204">
        <v>0.480631741059522</v>
      </c>
      <c r="J204">
        <v>1</v>
      </c>
      <c r="K204">
        <v>41</v>
      </c>
      <c r="L204">
        <v>0.49204523655481303</v>
      </c>
      <c r="M204" t="s">
        <v>105</v>
      </c>
    </row>
    <row r="205" spans="1:13" x14ac:dyDescent="0.2">
      <c r="A205" t="s">
        <v>41</v>
      </c>
      <c r="B205">
        <v>0.34881484970903098</v>
      </c>
      <c r="C205">
        <v>1.3858220233137101E-2</v>
      </c>
      <c r="D205">
        <v>5.2515867522938096E-3</v>
      </c>
      <c r="E205">
        <v>2.6388634305781999</v>
      </c>
      <c r="F205">
        <v>0.29565262115615898</v>
      </c>
      <c r="G205">
        <v>4.6628993140804299E-3</v>
      </c>
      <c r="H205">
        <v>63.4053195751804</v>
      </c>
      <c r="I205">
        <v>6.9636002052430301</v>
      </c>
      <c r="J205">
        <v>1</v>
      </c>
      <c r="K205">
        <v>13</v>
      </c>
      <c r="L205">
        <v>2.0440114748209399E-2</v>
      </c>
      <c r="M205" t="s">
        <v>76</v>
      </c>
    </row>
    <row r="206" spans="1:13" x14ac:dyDescent="0.2">
      <c r="A206" t="s">
        <v>41</v>
      </c>
      <c r="B206">
        <v>0.33830173478225101</v>
      </c>
      <c r="C206">
        <v>0.105269855785261</v>
      </c>
      <c r="D206">
        <v>2.64424119372728E-2</v>
      </c>
      <c r="E206">
        <v>3.9810988511556298</v>
      </c>
      <c r="F206">
        <v>0.66272251553050598</v>
      </c>
      <c r="G206">
        <v>3.1418949589008399E-2</v>
      </c>
      <c r="H206">
        <v>21.093083129754</v>
      </c>
      <c r="I206">
        <v>15.8491480626727</v>
      </c>
      <c r="J206">
        <v>1</v>
      </c>
      <c r="K206">
        <v>31</v>
      </c>
      <c r="L206">
        <v>3.8500059201165702E-4</v>
      </c>
      <c r="M206" t="s">
        <v>78</v>
      </c>
    </row>
    <row r="207" spans="1:13" x14ac:dyDescent="0.2">
      <c r="A207" t="s">
        <v>41</v>
      </c>
      <c r="B207">
        <v>0.166685243232017</v>
      </c>
      <c r="C207">
        <v>1.7544630819830601E-2</v>
      </c>
      <c r="D207">
        <v>1.0879990537846799E-2</v>
      </c>
      <c r="E207">
        <v>1.61255938217964</v>
      </c>
      <c r="F207">
        <v>0.63355827487780803</v>
      </c>
      <c r="G207">
        <v>9.7049187576505307E-3</v>
      </c>
      <c r="H207">
        <v>65.282182231393307</v>
      </c>
      <c r="I207">
        <v>2.6003477610556098</v>
      </c>
      <c r="J207">
        <v>1</v>
      </c>
      <c r="K207">
        <v>13</v>
      </c>
      <c r="L207">
        <v>0.130841231265279</v>
      </c>
      <c r="M207" t="s">
        <v>101</v>
      </c>
    </row>
    <row r="208" spans="1:13" x14ac:dyDescent="0.2">
      <c r="A208" t="s">
        <v>41</v>
      </c>
      <c r="B208">
        <v>0.158257578141903</v>
      </c>
      <c r="C208">
        <v>6.1858345595302101E-2</v>
      </c>
      <c r="D208">
        <v>2.69604188401921E-2</v>
      </c>
      <c r="E208">
        <v>2.2944133754734102</v>
      </c>
      <c r="F208">
        <v>1.03104588117976</v>
      </c>
      <c r="G208">
        <v>3.2619886346929798E-2</v>
      </c>
      <c r="H208">
        <v>31.607893118143998</v>
      </c>
      <c r="I208">
        <v>5.2643327375512898</v>
      </c>
      <c r="J208">
        <v>1</v>
      </c>
      <c r="K208">
        <v>28</v>
      </c>
      <c r="L208">
        <v>2.9473329890327402E-2</v>
      </c>
      <c r="M208" t="s">
        <v>102</v>
      </c>
    </row>
    <row r="209" spans="1:13" x14ac:dyDescent="0.2">
      <c r="A209" t="s">
        <v>41</v>
      </c>
      <c r="B209">
        <v>0.16317582227324001</v>
      </c>
      <c r="C209">
        <v>-4.8942310917143697E-2</v>
      </c>
      <c r="D209">
        <v>1.4075953766570099E-2</v>
      </c>
      <c r="E209">
        <v>-3.4770156061026398</v>
      </c>
      <c r="F209">
        <v>0.56453905937086701</v>
      </c>
      <c r="G209">
        <v>2.11333368478379E-2</v>
      </c>
      <c r="H209">
        <v>26.713200259646801</v>
      </c>
      <c r="I209">
        <v>12.0896375250815</v>
      </c>
      <c r="J209">
        <v>1</v>
      </c>
      <c r="K209">
        <v>62</v>
      </c>
      <c r="L209">
        <v>9.3231894517063296E-4</v>
      </c>
      <c r="M209" t="s">
        <v>103</v>
      </c>
    </row>
    <row r="210" spans="1:13" x14ac:dyDescent="0.2">
      <c r="A210" t="s">
        <v>41</v>
      </c>
      <c r="B210">
        <v>5.7159150494259896E-3</v>
      </c>
      <c r="C210">
        <v>-2.9602790548567798E-3</v>
      </c>
      <c r="D210">
        <v>6.2519098925203197E-3</v>
      </c>
      <c r="E210">
        <v>-0.47349995533339501</v>
      </c>
      <c r="F210">
        <v>0.41259773756729101</v>
      </c>
      <c r="G210">
        <v>8.0533624509491093E-3</v>
      </c>
      <c r="H210">
        <v>51.232977539544997</v>
      </c>
      <c r="I210">
        <v>0.22420220770072499</v>
      </c>
      <c r="J210">
        <v>1</v>
      </c>
      <c r="K210">
        <v>39</v>
      </c>
      <c r="L210">
        <v>0.63849639401445402</v>
      </c>
      <c r="M210" t="s">
        <v>104</v>
      </c>
    </row>
    <row r="211" spans="1:13" x14ac:dyDescent="0.2">
      <c r="A211" t="s">
        <v>41</v>
      </c>
      <c r="B211">
        <v>0.109187213080862</v>
      </c>
      <c r="C211">
        <v>-1.3925491986107401E-2</v>
      </c>
      <c r="D211">
        <v>6.28909105593356E-3</v>
      </c>
      <c r="E211">
        <v>-2.2142296656635501</v>
      </c>
      <c r="F211">
        <v>0.50573502329873099</v>
      </c>
      <c r="G211">
        <v>8.1469746253452699E-3</v>
      </c>
      <c r="H211">
        <v>62.0764205801486</v>
      </c>
      <c r="I211">
        <v>4.9028130123045903</v>
      </c>
      <c r="J211">
        <v>1</v>
      </c>
      <c r="K211">
        <v>40</v>
      </c>
      <c r="L211">
        <v>3.2575495896244797E-2</v>
      </c>
      <c r="M211" t="s">
        <v>105</v>
      </c>
    </row>
    <row r="212" spans="1:13" x14ac:dyDescent="0.2">
      <c r="A212" t="s">
        <v>42</v>
      </c>
      <c r="B212">
        <v>0.44833005749846</v>
      </c>
      <c r="C212">
        <v>1.0968464639148599E-2</v>
      </c>
      <c r="D212">
        <v>3.8475703774589298E-3</v>
      </c>
      <c r="E212">
        <v>2.8507508799339001</v>
      </c>
      <c r="F212">
        <v>0.29796826113767599</v>
      </c>
      <c r="G212">
        <v>3.2000978037673802E-3</v>
      </c>
      <c r="H212">
        <v>93.112235753196899</v>
      </c>
      <c r="I212">
        <v>8.1267805794441905</v>
      </c>
      <c r="J212">
        <v>1</v>
      </c>
      <c r="K212">
        <v>10</v>
      </c>
      <c r="L212">
        <v>1.72278981012313E-2</v>
      </c>
      <c r="M212" t="s">
        <v>76</v>
      </c>
    </row>
    <row r="213" spans="1:13" x14ac:dyDescent="0.2">
      <c r="A213" t="s">
        <v>42</v>
      </c>
      <c r="B213">
        <v>8.7295929470859707E-2</v>
      </c>
      <c r="C213">
        <v>5.88163982540965E-2</v>
      </c>
      <c r="D213">
        <v>3.80361383773168E-2</v>
      </c>
      <c r="E213">
        <v>1.5463293794612001</v>
      </c>
      <c r="F213">
        <v>0.70967480544639305</v>
      </c>
      <c r="G213">
        <v>4.1145697569239199E-2</v>
      </c>
      <c r="H213">
        <v>17.247849650675299</v>
      </c>
      <c r="I213">
        <v>2.3911345497848502</v>
      </c>
      <c r="J213">
        <v>1</v>
      </c>
      <c r="K213">
        <v>25</v>
      </c>
      <c r="L213">
        <v>0.13459143193988199</v>
      </c>
      <c r="M213" t="s">
        <v>78</v>
      </c>
    </row>
    <row r="214" spans="1:13" x14ac:dyDescent="0.2">
      <c r="A214" t="s">
        <v>42</v>
      </c>
      <c r="B214">
        <v>0.28046807464866702</v>
      </c>
      <c r="C214">
        <v>-2.8624163280128699E-2</v>
      </c>
      <c r="D214">
        <v>1.62095562026063E-2</v>
      </c>
      <c r="E214">
        <v>-1.76588198482117</v>
      </c>
      <c r="F214">
        <v>0.66108686849163301</v>
      </c>
      <c r="G214">
        <v>1.28513692089803E-2</v>
      </c>
      <c r="H214">
        <v>51.440967708692</v>
      </c>
      <c r="I214">
        <v>3.1183391843159201</v>
      </c>
      <c r="J214">
        <v>1</v>
      </c>
      <c r="K214">
        <v>8</v>
      </c>
      <c r="L214">
        <v>0.115408128328055</v>
      </c>
      <c r="M214" t="s">
        <v>101</v>
      </c>
    </row>
    <row r="215" spans="1:13" x14ac:dyDescent="0.2">
      <c r="A215" t="s">
        <v>42</v>
      </c>
      <c r="B215">
        <v>0.274865552783981</v>
      </c>
      <c r="C215">
        <v>9.6288718112181801E-2</v>
      </c>
      <c r="D215">
        <v>3.4128316684218798E-2</v>
      </c>
      <c r="E215">
        <v>2.82137320170574</v>
      </c>
      <c r="F215">
        <v>0.99168748213681501</v>
      </c>
      <c r="G215">
        <v>3.5749495901942097E-2</v>
      </c>
      <c r="H215">
        <v>27.739901140338599</v>
      </c>
      <c r="I215">
        <v>7.96014674330325</v>
      </c>
      <c r="J215">
        <v>1</v>
      </c>
      <c r="K215">
        <v>21</v>
      </c>
      <c r="L215">
        <v>1.02270601266275E-2</v>
      </c>
      <c r="M215" t="s">
        <v>102</v>
      </c>
    </row>
    <row r="216" spans="1:13" x14ac:dyDescent="0.2">
      <c r="A216" t="s">
        <v>42</v>
      </c>
      <c r="B216">
        <v>0.158864325336112</v>
      </c>
      <c r="C216">
        <v>-3.2315430634546401E-2</v>
      </c>
      <c r="D216">
        <v>1.00264787570515E-2</v>
      </c>
      <c r="E216">
        <v>-3.2230089363944798</v>
      </c>
      <c r="F216">
        <v>0.51793365104648803</v>
      </c>
      <c r="G216">
        <v>1.46367472156734E-2</v>
      </c>
      <c r="H216">
        <v>35.385843822722499</v>
      </c>
      <c r="I216">
        <v>10.387786604078601</v>
      </c>
      <c r="J216">
        <v>1</v>
      </c>
      <c r="K216">
        <v>55</v>
      </c>
      <c r="L216">
        <v>2.1343300533245698E-3</v>
      </c>
      <c r="M216" t="s">
        <v>103</v>
      </c>
    </row>
    <row r="217" spans="1:13" x14ac:dyDescent="0.2">
      <c r="A217" t="s">
        <v>42</v>
      </c>
      <c r="B217" s="1">
        <v>5.03723550638613E-5</v>
      </c>
      <c r="C217">
        <v>2.7222329425469698E-4</v>
      </c>
      <c r="D217">
        <v>6.7802113164562401E-3</v>
      </c>
      <c r="E217">
        <v>4.0149676986318099E-2</v>
      </c>
      <c r="F217">
        <v>0.40177439606767301</v>
      </c>
      <c r="G217">
        <v>8.2485658475785796E-3</v>
      </c>
      <c r="H217">
        <v>48.7083941004867</v>
      </c>
      <c r="I217">
        <v>1.6119965621067499E-3</v>
      </c>
      <c r="J217">
        <v>1</v>
      </c>
      <c r="K217">
        <v>32</v>
      </c>
      <c r="L217">
        <v>0.96822325332701298</v>
      </c>
      <c r="M217" t="s">
        <v>104</v>
      </c>
    </row>
    <row r="218" spans="1:13" x14ac:dyDescent="0.2">
      <c r="A218" t="s">
        <v>42</v>
      </c>
      <c r="B218">
        <v>1.5764738212825799E-2</v>
      </c>
      <c r="C218">
        <v>5.9617117164468799E-3</v>
      </c>
      <c r="D218">
        <v>8.0786276473031708E-3</v>
      </c>
      <c r="E218">
        <v>0.73796094791384903</v>
      </c>
      <c r="F218">
        <v>0.47898096809303697</v>
      </c>
      <c r="G218">
        <v>1.0070282073641501E-2</v>
      </c>
      <c r="H218">
        <v>47.563808500136197</v>
      </c>
      <c r="I218">
        <v>0.54458636064593702</v>
      </c>
      <c r="J218">
        <v>1</v>
      </c>
      <c r="K218">
        <v>34</v>
      </c>
      <c r="L218">
        <v>0.46560143282157801</v>
      </c>
      <c r="M218" t="s">
        <v>105</v>
      </c>
    </row>
    <row r="219" spans="1:13" x14ac:dyDescent="0.2">
      <c r="A219" t="s">
        <v>43</v>
      </c>
      <c r="B219">
        <v>0.18718654166035201</v>
      </c>
      <c r="C219">
        <v>1.2715969524667799E-2</v>
      </c>
      <c r="D219">
        <v>6.6244163398434903E-3</v>
      </c>
      <c r="E219">
        <v>1.9195607389870499</v>
      </c>
      <c r="F219">
        <v>0.29652380315232602</v>
      </c>
      <c r="G219">
        <v>6.3320641007324398E-3</v>
      </c>
      <c r="H219">
        <v>46.828932625307203</v>
      </c>
      <c r="I219">
        <v>3.6847134306604201</v>
      </c>
      <c r="J219">
        <v>1</v>
      </c>
      <c r="K219">
        <v>16</v>
      </c>
      <c r="L219">
        <v>7.2926810753355997E-2</v>
      </c>
      <c r="M219" t="s">
        <v>76</v>
      </c>
    </row>
    <row r="220" spans="1:13" x14ac:dyDescent="0.2">
      <c r="A220" t="s">
        <v>43</v>
      </c>
      <c r="B220">
        <v>0.377282286337354</v>
      </c>
      <c r="C220">
        <v>0.11038011526539999</v>
      </c>
      <c r="D220">
        <v>2.4320012115757499E-2</v>
      </c>
      <c r="E220">
        <v>4.5386537942504601</v>
      </c>
      <c r="F220">
        <v>0.64226042844963305</v>
      </c>
      <c r="G220">
        <v>2.9585794639103099E-2</v>
      </c>
      <c r="H220">
        <v>21.708405546787901</v>
      </c>
      <c r="I220">
        <v>20.5993782640642</v>
      </c>
      <c r="J220">
        <v>1</v>
      </c>
      <c r="K220">
        <v>34</v>
      </c>
      <c r="L220" s="1">
        <v>6.75323100257226E-5</v>
      </c>
      <c r="M220" t="s">
        <v>78</v>
      </c>
    </row>
    <row r="221" spans="1:13" x14ac:dyDescent="0.2">
      <c r="A221" t="s">
        <v>43</v>
      </c>
      <c r="B221">
        <v>0.24300429139579399</v>
      </c>
      <c r="C221">
        <v>1.9505016987936899E-2</v>
      </c>
      <c r="D221">
        <v>9.5480436088161598E-3</v>
      </c>
      <c r="E221">
        <v>2.0428286450144602</v>
      </c>
      <c r="F221">
        <v>0.62710049587758199</v>
      </c>
      <c r="G221">
        <v>8.5144867616430905E-3</v>
      </c>
      <c r="H221">
        <v>73.651003687339994</v>
      </c>
      <c r="I221">
        <v>4.1731488728914803</v>
      </c>
      <c r="J221">
        <v>1</v>
      </c>
      <c r="K221">
        <v>13</v>
      </c>
      <c r="L221">
        <v>6.18914692888866E-2</v>
      </c>
      <c r="M221" t="s">
        <v>101</v>
      </c>
    </row>
    <row r="222" spans="1:13" x14ac:dyDescent="0.2">
      <c r="A222" t="s">
        <v>43</v>
      </c>
      <c r="B222">
        <v>0.101988022427907</v>
      </c>
      <c r="C222">
        <v>5.4003144467578902E-2</v>
      </c>
      <c r="D222">
        <v>2.97568207399777E-2</v>
      </c>
      <c r="E222">
        <v>1.81481566661545</v>
      </c>
      <c r="F222">
        <v>1.03778574493014</v>
      </c>
      <c r="G222">
        <v>3.6379538183318003E-2</v>
      </c>
      <c r="H222">
        <v>28.5266332876657</v>
      </c>
      <c r="I222">
        <v>3.2935559037928899</v>
      </c>
      <c r="J222">
        <v>1</v>
      </c>
      <c r="K222">
        <v>29</v>
      </c>
      <c r="L222">
        <v>7.9908999622502599E-2</v>
      </c>
      <c r="M222" t="s">
        <v>102</v>
      </c>
    </row>
    <row r="223" spans="1:13" x14ac:dyDescent="0.2">
      <c r="A223" t="s">
        <v>43</v>
      </c>
      <c r="B223">
        <v>0.16423484265306801</v>
      </c>
      <c r="C223">
        <v>-4.3940982595255397E-2</v>
      </c>
      <c r="D223">
        <v>1.16818869070632E-2</v>
      </c>
      <c r="E223">
        <v>-3.7614627623802299</v>
      </c>
      <c r="F223">
        <v>0.56002008375575796</v>
      </c>
      <c r="G223">
        <v>1.7845072098856999E-2</v>
      </c>
      <c r="H223">
        <v>31.382337972824899</v>
      </c>
      <c r="I223">
        <v>14.1486021127731</v>
      </c>
      <c r="J223">
        <v>1</v>
      </c>
      <c r="K223">
        <v>72</v>
      </c>
      <c r="L223">
        <v>3.4123362376306798E-4</v>
      </c>
      <c r="M223" t="s">
        <v>103</v>
      </c>
    </row>
    <row r="224" spans="1:13" x14ac:dyDescent="0.2">
      <c r="A224" t="s">
        <v>43</v>
      </c>
      <c r="B224">
        <v>2.61660871073497E-2</v>
      </c>
      <c r="C224">
        <v>-6.9661357791941502E-3</v>
      </c>
      <c r="D224">
        <v>6.33517672027205E-3</v>
      </c>
      <c r="E224">
        <v>-1.0995961260090901</v>
      </c>
      <c r="F224">
        <v>0.42406211135920702</v>
      </c>
      <c r="G224">
        <v>8.4149472667476004E-3</v>
      </c>
      <c r="H224">
        <v>50.393911918488797</v>
      </c>
      <c r="I224">
        <v>1.2091116403342299</v>
      </c>
      <c r="J224">
        <v>1</v>
      </c>
      <c r="K224">
        <v>45</v>
      </c>
      <c r="L224">
        <v>0.27735610529217902</v>
      </c>
      <c r="M224" t="s">
        <v>104</v>
      </c>
    </row>
    <row r="225" spans="1:13" x14ac:dyDescent="0.2">
      <c r="A225" t="s">
        <v>43</v>
      </c>
      <c r="B225">
        <v>0.34730241283938901</v>
      </c>
      <c r="C225">
        <v>-2.8343323843750198E-2</v>
      </c>
      <c r="D225">
        <v>5.9955390658057396E-3</v>
      </c>
      <c r="E225">
        <v>-4.7274020788889901</v>
      </c>
      <c r="F225">
        <v>0.52616651298572403</v>
      </c>
      <c r="G225">
        <v>7.8293264741172292E-3</v>
      </c>
      <c r="H225">
        <v>67.204569221268798</v>
      </c>
      <c r="I225">
        <v>22.348330415483701</v>
      </c>
      <c r="J225">
        <v>1</v>
      </c>
      <c r="K225">
        <v>42</v>
      </c>
      <c r="L225" s="1">
        <v>2.56667017700475E-5</v>
      </c>
      <c r="M225" t="s">
        <v>105</v>
      </c>
    </row>
    <row r="226" spans="1:13" x14ac:dyDescent="0.2">
      <c r="A226" t="s">
        <v>44</v>
      </c>
      <c r="B226">
        <v>0.235274503556965</v>
      </c>
      <c r="C226">
        <v>1.34884118932796E-2</v>
      </c>
      <c r="D226">
        <v>5.8979584806591297E-3</v>
      </c>
      <c r="E226">
        <v>2.2869628427381201</v>
      </c>
      <c r="F226">
        <v>0.29543995674458501</v>
      </c>
      <c r="G226">
        <v>5.8355429866495398E-3</v>
      </c>
      <c r="H226">
        <v>50.627672081327702</v>
      </c>
      <c r="I226">
        <v>5.2301990440648902</v>
      </c>
      <c r="J226">
        <v>1</v>
      </c>
      <c r="K226">
        <v>17</v>
      </c>
      <c r="L226">
        <v>3.5292876571365303E-2</v>
      </c>
      <c r="M226" t="s">
        <v>76</v>
      </c>
    </row>
    <row r="227" spans="1:13" x14ac:dyDescent="0.2">
      <c r="A227" t="s">
        <v>44</v>
      </c>
      <c r="B227">
        <v>0.17541673296160301</v>
      </c>
      <c r="C227">
        <v>8.4787085195879297E-2</v>
      </c>
      <c r="D227">
        <v>3.1526226870282899E-2</v>
      </c>
      <c r="E227">
        <v>2.6894142944774999</v>
      </c>
      <c r="F227">
        <v>0.66558072816327796</v>
      </c>
      <c r="G227">
        <v>3.8696050998609302E-2</v>
      </c>
      <c r="H227">
        <v>17.200223562533498</v>
      </c>
      <c r="I227">
        <v>7.2329492473399402</v>
      </c>
      <c r="J227">
        <v>1</v>
      </c>
      <c r="K227">
        <v>34</v>
      </c>
      <c r="L227">
        <v>1.10103108219958E-2</v>
      </c>
      <c r="M227" t="s">
        <v>78</v>
      </c>
    </row>
    <row r="228" spans="1:13" x14ac:dyDescent="0.2">
      <c r="A228" t="s">
        <v>44</v>
      </c>
      <c r="B228">
        <v>0.115760236411001</v>
      </c>
      <c r="C228">
        <v>2.5028552101657699E-2</v>
      </c>
      <c r="D228">
        <v>1.8487450600410099E-2</v>
      </c>
      <c r="E228">
        <v>1.3538130617697199</v>
      </c>
      <c r="F228">
        <v>0.62771838000772895</v>
      </c>
      <c r="G228">
        <v>1.7097296984231701E-2</v>
      </c>
      <c r="H228">
        <v>36.714480691693801</v>
      </c>
      <c r="I228">
        <v>1.8328098062182301</v>
      </c>
      <c r="J228">
        <v>1</v>
      </c>
      <c r="K228">
        <v>14</v>
      </c>
      <c r="L228">
        <v>0.197248697153416</v>
      </c>
      <c r="M228" t="s">
        <v>101</v>
      </c>
    </row>
    <row r="229" spans="1:13" x14ac:dyDescent="0.2">
      <c r="A229" t="s">
        <v>44</v>
      </c>
      <c r="B229">
        <v>0.132030382231</v>
      </c>
      <c r="C229">
        <v>5.2568807680766098E-2</v>
      </c>
      <c r="D229">
        <v>2.4208205724413599E-2</v>
      </c>
      <c r="E229">
        <v>2.17152845936663</v>
      </c>
      <c r="F229">
        <v>1.03459008563766</v>
      </c>
      <c r="G229">
        <v>2.9685248500958699E-2</v>
      </c>
      <c r="H229">
        <v>34.851993427113896</v>
      </c>
      <c r="I229">
        <v>4.7155358498392603</v>
      </c>
      <c r="J229">
        <v>1</v>
      </c>
      <c r="K229">
        <v>31</v>
      </c>
      <c r="L229">
        <v>3.7663138398574103E-2</v>
      </c>
      <c r="M229" t="s">
        <v>102</v>
      </c>
    </row>
    <row r="230" spans="1:13" x14ac:dyDescent="0.2">
      <c r="A230" t="s">
        <v>44</v>
      </c>
      <c r="B230">
        <v>2.1422833632653801E-3</v>
      </c>
      <c r="C230">
        <v>5.8137300874654598E-3</v>
      </c>
      <c r="D230">
        <v>1.45859546076066E-2</v>
      </c>
      <c r="E230">
        <v>0.39858413411170102</v>
      </c>
      <c r="F230">
        <v>0.48373430861974898</v>
      </c>
      <c r="G230">
        <v>2.26526216261051E-2</v>
      </c>
      <c r="H230">
        <v>21.354451445138199</v>
      </c>
      <c r="I230">
        <v>0.15886931196559501</v>
      </c>
      <c r="J230">
        <v>1</v>
      </c>
      <c r="K230">
        <v>74</v>
      </c>
      <c r="L230">
        <v>0.69134743159336898</v>
      </c>
      <c r="M230" t="s">
        <v>103</v>
      </c>
    </row>
    <row r="231" spans="1:13" x14ac:dyDescent="0.2">
      <c r="A231" t="s">
        <v>44</v>
      </c>
      <c r="B231">
        <v>1.59271603993934E-2</v>
      </c>
      <c r="C231">
        <v>-6.3436339811677699E-3</v>
      </c>
      <c r="D231">
        <v>7.5172020658486804E-3</v>
      </c>
      <c r="E231">
        <v>-0.84388232823851705</v>
      </c>
      <c r="F231">
        <v>0.41309787864631897</v>
      </c>
      <c r="G231">
        <v>9.9500939753440799E-3</v>
      </c>
      <c r="H231">
        <v>41.516982620461498</v>
      </c>
      <c r="I231">
        <v>0.71213738391329995</v>
      </c>
      <c r="J231">
        <v>1</v>
      </c>
      <c r="K231">
        <v>44</v>
      </c>
      <c r="L231">
        <v>0.40329994079404802</v>
      </c>
      <c r="M231" t="s">
        <v>104</v>
      </c>
    </row>
    <row r="232" spans="1:13" x14ac:dyDescent="0.2">
      <c r="A232" t="s">
        <v>44</v>
      </c>
      <c r="B232">
        <v>4.5097597662426797E-2</v>
      </c>
      <c r="C232">
        <v>-1.09787798743122E-2</v>
      </c>
      <c r="D232">
        <v>7.5309646618463202E-3</v>
      </c>
      <c r="E232">
        <v>-1.45781853551025</v>
      </c>
      <c r="F232">
        <v>0.50228134350754705</v>
      </c>
      <c r="G232">
        <v>1.00318140493944E-2</v>
      </c>
      <c r="H232">
        <v>50.068845079705902</v>
      </c>
      <c r="I232">
        <v>2.12523488247732</v>
      </c>
      <c r="J232">
        <v>1</v>
      </c>
      <c r="K232">
        <v>45</v>
      </c>
      <c r="L232">
        <v>0.15183465305797</v>
      </c>
      <c r="M232" t="s">
        <v>105</v>
      </c>
    </row>
    <row r="233" spans="1:13" x14ac:dyDescent="0.2">
      <c r="A233" t="s">
        <v>45</v>
      </c>
      <c r="B233">
        <v>0.37801076652346299</v>
      </c>
      <c r="C233">
        <v>1.31580193047735E-2</v>
      </c>
      <c r="D233">
        <v>6.8905556228183503E-3</v>
      </c>
      <c r="E233">
        <v>1.9095730482459501</v>
      </c>
      <c r="F233">
        <v>0.29571089660897598</v>
      </c>
      <c r="G233">
        <v>5.54053560996605E-3</v>
      </c>
      <c r="H233">
        <v>53.372258103903498</v>
      </c>
      <c r="I233">
        <v>3.6464692265872398</v>
      </c>
      <c r="J233">
        <v>1</v>
      </c>
      <c r="K233">
        <v>6</v>
      </c>
      <c r="L233">
        <v>0.104769922073674</v>
      </c>
      <c r="M233" t="s">
        <v>76</v>
      </c>
    </row>
    <row r="234" spans="1:13" x14ac:dyDescent="0.2">
      <c r="A234" t="s">
        <v>45</v>
      </c>
      <c r="B234">
        <v>7.0632522479196602E-2</v>
      </c>
      <c r="C234">
        <v>-4.22108947909468E-2</v>
      </c>
      <c r="D234">
        <v>3.0622872860290799E-2</v>
      </c>
      <c r="E234">
        <v>-1.3784106730783701</v>
      </c>
      <c r="F234">
        <v>0.81164291355733098</v>
      </c>
      <c r="G234">
        <v>3.4196874980330097E-2</v>
      </c>
      <c r="H234">
        <v>23.734417663139801</v>
      </c>
      <c r="I234">
        <v>1.9000159836563499</v>
      </c>
      <c r="J234">
        <v>1</v>
      </c>
      <c r="K234">
        <v>25</v>
      </c>
      <c r="L234">
        <v>0.180288098940144</v>
      </c>
      <c r="M234" t="s">
        <v>78</v>
      </c>
    </row>
    <row r="235" spans="1:13" x14ac:dyDescent="0.2">
      <c r="A235" t="s">
        <v>45</v>
      </c>
      <c r="B235">
        <v>0.102303088363366</v>
      </c>
      <c r="C235">
        <v>-8.9148693797324405E-3</v>
      </c>
      <c r="D235">
        <v>8.8026659822611104E-3</v>
      </c>
      <c r="E235">
        <v>-1.01274652448445</v>
      </c>
      <c r="F235">
        <v>0.64401079423327801</v>
      </c>
      <c r="G235">
        <v>7.09102632410007E-3</v>
      </c>
      <c r="H235">
        <v>90.820533558660799</v>
      </c>
      <c r="I235">
        <v>1.0256555228553399</v>
      </c>
      <c r="J235">
        <v>1</v>
      </c>
      <c r="K235">
        <v>9</v>
      </c>
      <c r="L235">
        <v>0.33763235029549499</v>
      </c>
      <c r="M235" t="s">
        <v>101</v>
      </c>
    </row>
    <row r="236" spans="1:13" x14ac:dyDescent="0.2">
      <c r="A236" t="s">
        <v>45</v>
      </c>
      <c r="B236">
        <v>4.6720315685938603E-2</v>
      </c>
      <c r="C236">
        <v>2.9612471076254601E-2</v>
      </c>
      <c r="D236">
        <v>2.9910036034731399E-2</v>
      </c>
      <c r="E236">
        <v>0.99005133400269996</v>
      </c>
      <c r="F236">
        <v>1.0431031441065901</v>
      </c>
      <c r="G236">
        <v>3.10529651514392E-2</v>
      </c>
      <c r="H236">
        <v>33.5910963419946</v>
      </c>
      <c r="I236">
        <v>0.98020164396048204</v>
      </c>
      <c r="J236">
        <v>1</v>
      </c>
      <c r="K236">
        <v>20</v>
      </c>
      <c r="L236">
        <v>0.33397662565756098</v>
      </c>
      <c r="M236" t="s">
        <v>102</v>
      </c>
    </row>
    <row r="237" spans="1:13" x14ac:dyDescent="0.2">
      <c r="A237" t="s">
        <v>45</v>
      </c>
      <c r="B237">
        <v>1.1192206777527801E-2</v>
      </c>
      <c r="C237">
        <v>-7.73636956635572E-3</v>
      </c>
      <c r="D237">
        <v>1.00840180344712E-2</v>
      </c>
      <c r="E237">
        <v>-0.76719116724203695</v>
      </c>
      <c r="F237">
        <v>0.48666544576802301</v>
      </c>
      <c r="G237">
        <v>1.45739956913804E-2</v>
      </c>
      <c r="H237">
        <v>33.392726063165803</v>
      </c>
      <c r="I237">
        <v>0.58858228709419502</v>
      </c>
      <c r="J237">
        <v>1</v>
      </c>
      <c r="K237">
        <v>52</v>
      </c>
      <c r="L237">
        <v>0.44643734773680999</v>
      </c>
      <c r="M237" t="s">
        <v>103</v>
      </c>
    </row>
    <row r="238" spans="1:13" x14ac:dyDescent="0.2">
      <c r="A238" t="s">
        <v>45</v>
      </c>
      <c r="B238">
        <v>1.61931098594774E-2</v>
      </c>
      <c r="C238">
        <v>5.8536096125505399E-3</v>
      </c>
      <c r="D238">
        <v>8.1946933574555594E-3</v>
      </c>
      <c r="E238">
        <v>0.714317102204307</v>
      </c>
      <c r="F238">
        <v>0.39681274877051298</v>
      </c>
      <c r="G238">
        <v>9.8934187605255897E-3</v>
      </c>
      <c r="H238">
        <v>40.108759001871299</v>
      </c>
      <c r="I238">
        <v>0.51024892250154696</v>
      </c>
      <c r="J238">
        <v>1</v>
      </c>
      <c r="K238">
        <v>31</v>
      </c>
      <c r="L238">
        <v>0.48037567525321501</v>
      </c>
      <c r="M238" t="s">
        <v>104</v>
      </c>
    </row>
    <row r="239" spans="1:13" x14ac:dyDescent="0.2">
      <c r="A239" t="s">
        <v>45</v>
      </c>
      <c r="B239">
        <v>4.9492402014530402E-2</v>
      </c>
      <c r="C239">
        <v>-7.9543786861142607E-3</v>
      </c>
      <c r="D239">
        <v>6.3643516212253497E-3</v>
      </c>
      <c r="E239">
        <v>-1.2498333152408001</v>
      </c>
      <c r="F239">
        <v>0.49441555282118699</v>
      </c>
      <c r="G239">
        <v>7.6981163470526701E-3</v>
      </c>
      <c r="H239">
        <v>64.225523560770895</v>
      </c>
      <c r="I239">
        <v>1.56208331588593</v>
      </c>
      <c r="J239">
        <v>1</v>
      </c>
      <c r="K239">
        <v>30</v>
      </c>
      <c r="L239">
        <v>0.22102307030649801</v>
      </c>
      <c r="M239" t="s">
        <v>105</v>
      </c>
    </row>
    <row r="240" spans="1:13" x14ac:dyDescent="0.2">
      <c r="A240" t="s">
        <v>46</v>
      </c>
      <c r="B240">
        <v>0.30115678592746897</v>
      </c>
      <c r="C240">
        <v>1.30363136612837E-2</v>
      </c>
      <c r="D240">
        <v>7.0210708776162296E-3</v>
      </c>
      <c r="E240">
        <v>1.8567414983438699</v>
      </c>
      <c r="F240">
        <v>0.29547440126076402</v>
      </c>
      <c r="G240">
        <v>5.8487778624484498E-3</v>
      </c>
      <c r="H240">
        <v>50.518998705324599</v>
      </c>
      <c r="I240">
        <v>3.4474889916720302</v>
      </c>
      <c r="J240">
        <v>1</v>
      </c>
      <c r="K240">
        <v>8</v>
      </c>
      <c r="L240">
        <v>0.10043191030003799</v>
      </c>
      <c r="M240" t="s">
        <v>76</v>
      </c>
    </row>
    <row r="241" spans="1:13" x14ac:dyDescent="0.2">
      <c r="A241" t="s">
        <v>46</v>
      </c>
      <c r="B241">
        <v>2.12755479700854E-2</v>
      </c>
      <c r="C241">
        <v>-2.26140135734435E-2</v>
      </c>
      <c r="D241">
        <v>3.00802067247051E-2</v>
      </c>
      <c r="E241">
        <v>-0.75179049733293302</v>
      </c>
      <c r="F241">
        <v>0.79979777099353599</v>
      </c>
      <c r="G241">
        <v>3.3438652545704203E-2</v>
      </c>
      <c r="H241">
        <v>23.918361240793601</v>
      </c>
      <c r="I241">
        <v>0.56518895188010798</v>
      </c>
      <c r="J241">
        <v>1</v>
      </c>
      <c r="K241">
        <v>26</v>
      </c>
      <c r="L241">
        <v>0.45892898314136699</v>
      </c>
      <c r="M241" t="s">
        <v>78</v>
      </c>
    </row>
    <row r="242" spans="1:13" x14ac:dyDescent="0.2">
      <c r="A242" t="s">
        <v>46</v>
      </c>
      <c r="B242">
        <v>1.3735029922580201E-2</v>
      </c>
      <c r="C242">
        <v>-2.00872088281664E-3</v>
      </c>
      <c r="D242">
        <v>5.3827175779468297E-3</v>
      </c>
      <c r="E242">
        <v>-0.373179691062826</v>
      </c>
      <c r="F242">
        <v>0.63863296182366602</v>
      </c>
      <c r="G242">
        <v>4.4403771892848297E-3</v>
      </c>
      <c r="H242">
        <v>143.82403444571401</v>
      </c>
      <c r="I242">
        <v>0.139263081821735</v>
      </c>
      <c r="J242">
        <v>1</v>
      </c>
      <c r="K242">
        <v>10</v>
      </c>
      <c r="L242">
        <v>0.71680358623602602</v>
      </c>
      <c r="M242" t="s">
        <v>101</v>
      </c>
    </row>
    <row r="243" spans="1:13" x14ac:dyDescent="0.2">
      <c r="A243" t="s">
        <v>46</v>
      </c>
      <c r="B243">
        <v>9.6177937094827304E-2</v>
      </c>
      <c r="C243">
        <v>3.7174441323218899E-2</v>
      </c>
      <c r="D243">
        <v>2.42961158890969E-2</v>
      </c>
      <c r="E243">
        <v>1.53005696436859</v>
      </c>
      <c r="F243">
        <v>1.04249885527312</v>
      </c>
      <c r="G243">
        <v>2.6383974294946301E-2</v>
      </c>
      <c r="H243">
        <v>39.5125784924982</v>
      </c>
      <c r="I243">
        <v>2.34107431421288</v>
      </c>
      <c r="J243">
        <v>1</v>
      </c>
      <c r="K243">
        <v>22</v>
      </c>
      <c r="L243">
        <v>0.140255629615789</v>
      </c>
      <c r="M243" t="s">
        <v>102</v>
      </c>
    </row>
    <row r="244" spans="1:13" x14ac:dyDescent="0.2">
      <c r="A244" t="s">
        <v>46</v>
      </c>
      <c r="B244">
        <v>6.4773912659816704E-2</v>
      </c>
      <c r="C244">
        <v>-2.3096818517631901E-2</v>
      </c>
      <c r="D244">
        <v>1.19430024837863E-2</v>
      </c>
      <c r="E244">
        <v>-1.9339205990275901</v>
      </c>
      <c r="F244">
        <v>0.50876143566484899</v>
      </c>
      <c r="G244">
        <v>1.7319104927432601E-2</v>
      </c>
      <c r="H244">
        <v>29.375734935296499</v>
      </c>
      <c r="I244">
        <v>3.7400488833432202</v>
      </c>
      <c r="J244">
        <v>1</v>
      </c>
      <c r="K244">
        <v>54</v>
      </c>
      <c r="L244">
        <v>5.8370959994096798E-2</v>
      </c>
      <c r="M244" t="s">
        <v>103</v>
      </c>
    </row>
    <row r="245" spans="1:13" x14ac:dyDescent="0.2">
      <c r="A245" t="s">
        <v>46</v>
      </c>
      <c r="B245">
        <v>7.26881270813955E-3</v>
      </c>
      <c r="C245">
        <v>-2.8299245334901199E-3</v>
      </c>
      <c r="D245">
        <v>5.5901688455765597E-3</v>
      </c>
      <c r="E245">
        <v>-0.50623238969416895</v>
      </c>
      <c r="F245">
        <v>0.40500671965190999</v>
      </c>
      <c r="G245">
        <v>7.0167771362100199E-3</v>
      </c>
      <c r="H245">
        <v>57.719763901560498</v>
      </c>
      <c r="I245">
        <v>0.25627123237550598</v>
      </c>
      <c r="J245">
        <v>1</v>
      </c>
      <c r="K245">
        <v>35</v>
      </c>
      <c r="L245">
        <v>0.61586759824522597</v>
      </c>
      <c r="M245" t="s">
        <v>104</v>
      </c>
    </row>
    <row r="246" spans="1:13" x14ac:dyDescent="0.2">
      <c r="A246" t="s">
        <v>46</v>
      </c>
      <c r="B246">
        <v>3.7973386574864398E-3</v>
      </c>
      <c r="C246">
        <v>-2.40315796600087E-3</v>
      </c>
      <c r="D246">
        <v>6.6753961531232104E-3</v>
      </c>
      <c r="E246">
        <v>-0.360002299620301</v>
      </c>
      <c r="F246">
        <v>0.48830092854791901</v>
      </c>
      <c r="G246">
        <v>8.1996201609156605E-3</v>
      </c>
      <c r="H246">
        <v>59.551652267437497</v>
      </c>
      <c r="I246">
        <v>0.129601655731924</v>
      </c>
      <c r="J246">
        <v>1</v>
      </c>
      <c r="K246">
        <v>34</v>
      </c>
      <c r="L246">
        <v>0.721072114261329</v>
      </c>
      <c r="M246" t="s">
        <v>105</v>
      </c>
    </row>
    <row r="247" spans="1:13" x14ac:dyDescent="0.2">
      <c r="A247" t="s">
        <v>47</v>
      </c>
      <c r="B247">
        <v>0.18348150888541001</v>
      </c>
      <c r="C247">
        <v>1.20502811360545E-2</v>
      </c>
      <c r="D247">
        <v>6.7939136399071598E-3</v>
      </c>
      <c r="E247">
        <v>1.77368771149395</v>
      </c>
      <c r="F247">
        <v>0.29596065387637899</v>
      </c>
      <c r="G247">
        <v>6.2745701170272396E-3</v>
      </c>
      <c r="H247">
        <v>47.168275811156199</v>
      </c>
      <c r="I247">
        <v>3.14596809790465</v>
      </c>
      <c r="J247">
        <v>1</v>
      </c>
      <c r="K247">
        <v>14</v>
      </c>
      <c r="L247">
        <v>9.7858376119880602E-2</v>
      </c>
      <c r="M247" t="s">
        <v>76</v>
      </c>
    </row>
    <row r="248" spans="1:13" x14ac:dyDescent="0.2">
      <c r="A248" t="s">
        <v>47</v>
      </c>
      <c r="B248">
        <v>0.26579023259781298</v>
      </c>
      <c r="C248">
        <v>8.4505255000665899E-2</v>
      </c>
      <c r="D248">
        <v>2.3740522045251299E-2</v>
      </c>
      <c r="E248">
        <v>3.55953651059535</v>
      </c>
      <c r="F248">
        <v>0.671198103986543</v>
      </c>
      <c r="G248">
        <v>2.9563109554078801E-2</v>
      </c>
      <c r="H248">
        <v>22.703907474913802</v>
      </c>
      <c r="I248">
        <v>12.670300170261299</v>
      </c>
      <c r="J248">
        <v>1</v>
      </c>
      <c r="K248">
        <v>35</v>
      </c>
      <c r="L248">
        <v>1.09227491085192E-3</v>
      </c>
      <c r="M248" t="s">
        <v>78</v>
      </c>
    </row>
    <row r="249" spans="1:13" x14ac:dyDescent="0.2">
      <c r="A249" t="s">
        <v>47</v>
      </c>
      <c r="B249">
        <v>0.285731053444709</v>
      </c>
      <c r="C249">
        <v>1.8937699267315099E-2</v>
      </c>
      <c r="D249">
        <v>8.6434824798746392E-3</v>
      </c>
      <c r="E249">
        <v>2.1909802341139</v>
      </c>
      <c r="F249">
        <v>0.62764806125315198</v>
      </c>
      <c r="G249">
        <v>7.6685202856410402E-3</v>
      </c>
      <c r="H249">
        <v>81.8473496677573</v>
      </c>
      <c r="I249">
        <v>4.8003943862776897</v>
      </c>
      <c r="J249">
        <v>1</v>
      </c>
      <c r="K249">
        <v>12</v>
      </c>
      <c r="L249">
        <v>4.8921834198274901E-2</v>
      </c>
      <c r="M249" t="s">
        <v>101</v>
      </c>
    </row>
    <row r="250" spans="1:13" x14ac:dyDescent="0.2">
      <c r="A250" t="s">
        <v>47</v>
      </c>
      <c r="B250">
        <v>0.164747945449157</v>
      </c>
      <c r="C250">
        <v>6.2111365843232298E-2</v>
      </c>
      <c r="D250">
        <v>2.64296149854913E-2</v>
      </c>
      <c r="E250">
        <v>2.3500669940643699</v>
      </c>
      <c r="F250">
        <v>1.0179714409015199</v>
      </c>
      <c r="G250">
        <v>3.2411976848001102E-2</v>
      </c>
      <c r="H250">
        <v>31.407261756214201</v>
      </c>
      <c r="I250">
        <v>5.5228148765907701</v>
      </c>
      <c r="J250">
        <v>1</v>
      </c>
      <c r="K250">
        <v>28</v>
      </c>
      <c r="L250">
        <v>2.60489884873971E-2</v>
      </c>
      <c r="M250" t="s">
        <v>102</v>
      </c>
    </row>
    <row r="251" spans="1:13" x14ac:dyDescent="0.2">
      <c r="A251" t="s">
        <v>47</v>
      </c>
      <c r="B251">
        <v>0.15583415741245299</v>
      </c>
      <c r="C251">
        <v>-3.8268935714344803E-2</v>
      </c>
      <c r="D251">
        <v>1.0645839724108999E-2</v>
      </c>
      <c r="E251">
        <v>-3.5947315295081399</v>
      </c>
      <c r="F251">
        <v>0.54744836231560901</v>
      </c>
      <c r="G251">
        <v>1.6361094119673601E-2</v>
      </c>
      <c r="H251">
        <v>33.460376079453098</v>
      </c>
      <c r="I251">
        <v>12.9220947692401</v>
      </c>
      <c r="J251">
        <v>1</v>
      </c>
      <c r="K251">
        <v>70</v>
      </c>
      <c r="L251">
        <v>6.0023829844605997E-4</v>
      </c>
      <c r="M251" t="s">
        <v>103</v>
      </c>
    </row>
    <row r="252" spans="1:13" x14ac:dyDescent="0.2">
      <c r="A252" t="s">
        <v>47</v>
      </c>
      <c r="B252">
        <v>8.0158842966919605E-4</v>
      </c>
      <c r="C252">
        <v>-1.04277409178137E-3</v>
      </c>
      <c r="D252">
        <v>5.6144362139595502E-3</v>
      </c>
      <c r="E252">
        <v>-0.185730864514705</v>
      </c>
      <c r="F252">
        <v>0.41419327209780099</v>
      </c>
      <c r="G252">
        <v>7.46473911220321E-3</v>
      </c>
      <c r="H252">
        <v>55.486637358924703</v>
      </c>
      <c r="I252">
        <v>3.4495954033399001E-2</v>
      </c>
      <c r="J252">
        <v>1</v>
      </c>
      <c r="K252">
        <v>43</v>
      </c>
      <c r="L252">
        <v>0.85352920136601396</v>
      </c>
      <c r="M252" t="s">
        <v>104</v>
      </c>
    </row>
    <row r="253" spans="1:13" x14ac:dyDescent="0.2">
      <c r="A253" t="s">
        <v>47</v>
      </c>
      <c r="B253">
        <v>4.5716895139738901E-2</v>
      </c>
      <c r="C253">
        <v>-8.8120452519333294E-3</v>
      </c>
      <c r="D253">
        <v>6.2876020078927401E-3</v>
      </c>
      <c r="E253">
        <v>-1.40149539377201</v>
      </c>
      <c r="F253">
        <v>0.50023591009860302</v>
      </c>
      <c r="G253">
        <v>8.2210254580958406E-3</v>
      </c>
      <c r="H253">
        <v>60.848359203897701</v>
      </c>
      <c r="I253">
        <v>1.96418933876417</v>
      </c>
      <c r="J253">
        <v>1</v>
      </c>
      <c r="K253">
        <v>41</v>
      </c>
      <c r="L253">
        <v>0.168590867300107</v>
      </c>
      <c r="M253" t="s">
        <v>105</v>
      </c>
    </row>
    <row r="254" spans="1:13" x14ac:dyDescent="0.2">
      <c r="A254" t="s">
        <v>48</v>
      </c>
      <c r="B254">
        <v>0.105813417492242</v>
      </c>
      <c r="C254">
        <v>6.21147001984466E-3</v>
      </c>
      <c r="D254">
        <v>4.8258528962763702E-3</v>
      </c>
      <c r="E254">
        <v>1.2871237796405699</v>
      </c>
      <c r="F254">
        <v>0.30035036392894199</v>
      </c>
      <c r="G254">
        <v>4.4854325262344199E-3</v>
      </c>
      <c r="H254">
        <v>66.961293514561106</v>
      </c>
      <c r="I254">
        <v>1.6566876241162201</v>
      </c>
      <c r="J254">
        <v>1</v>
      </c>
      <c r="K254">
        <v>14</v>
      </c>
      <c r="L254">
        <v>0.218925107009069</v>
      </c>
      <c r="M254" t="s">
        <v>76</v>
      </c>
    </row>
    <row r="255" spans="1:13" x14ac:dyDescent="0.2">
      <c r="A255" t="s">
        <v>48</v>
      </c>
      <c r="B255">
        <v>0.21402068060583701</v>
      </c>
      <c r="C255">
        <v>9.7259651870856001E-2</v>
      </c>
      <c r="D255">
        <v>3.1504774663040101E-2</v>
      </c>
      <c r="E255">
        <v>3.0871400576927899</v>
      </c>
      <c r="F255">
        <v>0.65942070570445899</v>
      </c>
      <c r="G255">
        <v>3.9251027919868703E-2</v>
      </c>
      <c r="H255">
        <v>16.8000875556857</v>
      </c>
      <c r="I255">
        <v>9.5304337358114708</v>
      </c>
      <c r="J255">
        <v>1</v>
      </c>
      <c r="K255">
        <v>35</v>
      </c>
      <c r="L255">
        <v>3.9389612685400604E-3</v>
      </c>
      <c r="M255" t="s">
        <v>78</v>
      </c>
    </row>
    <row r="256" spans="1:13" x14ac:dyDescent="0.2">
      <c r="A256" t="s">
        <v>48</v>
      </c>
      <c r="B256">
        <v>0.33093792678381501</v>
      </c>
      <c r="C256">
        <v>2.4591309268935199E-2</v>
      </c>
      <c r="D256">
        <v>9.6977260266184594E-3</v>
      </c>
      <c r="E256">
        <v>2.5357809863298502</v>
      </c>
      <c r="F256">
        <v>0.62629429007753501</v>
      </c>
      <c r="G256">
        <v>8.6067054518982299E-3</v>
      </c>
      <c r="H256">
        <v>72.768179831157596</v>
      </c>
      <c r="I256">
        <v>6.4301852106321302</v>
      </c>
      <c r="J256">
        <v>1</v>
      </c>
      <c r="K256">
        <v>13</v>
      </c>
      <c r="L256">
        <v>2.4851926655906201E-2</v>
      </c>
      <c r="M256" t="s">
        <v>101</v>
      </c>
    </row>
    <row r="257" spans="1:13" x14ac:dyDescent="0.2">
      <c r="A257" t="s">
        <v>48</v>
      </c>
      <c r="B257">
        <v>0.18496334113596199</v>
      </c>
      <c r="C257">
        <v>6.8226989324006504E-2</v>
      </c>
      <c r="D257">
        <v>2.7562592603266298E-2</v>
      </c>
      <c r="E257">
        <v>2.4753473051704602</v>
      </c>
      <c r="F257">
        <v>1.01061048992567</v>
      </c>
      <c r="G257">
        <v>3.2954951507807403E-2</v>
      </c>
      <c r="H257">
        <v>30.6664232137088</v>
      </c>
      <c r="I257">
        <v>6.1273442812147696</v>
      </c>
      <c r="J257">
        <v>1</v>
      </c>
      <c r="K257">
        <v>27</v>
      </c>
      <c r="L257">
        <v>1.9878394790171099E-2</v>
      </c>
      <c r="M257" t="s">
        <v>102</v>
      </c>
    </row>
    <row r="258" spans="1:13" x14ac:dyDescent="0.2">
      <c r="A258" t="s">
        <v>48</v>
      </c>
      <c r="B258">
        <v>7.6507066908511903E-2</v>
      </c>
      <c r="C258">
        <v>-3.4114590018649499E-2</v>
      </c>
      <c r="D258">
        <v>1.43731418598137E-2</v>
      </c>
      <c r="E258">
        <v>-2.3734956734846899</v>
      </c>
      <c r="F258">
        <v>0.53748379834446602</v>
      </c>
      <c r="G258">
        <v>2.19659659436993E-2</v>
      </c>
      <c r="H258">
        <v>24.4689352483785</v>
      </c>
      <c r="I258">
        <v>5.63348171205054</v>
      </c>
      <c r="J258">
        <v>1</v>
      </c>
      <c r="K258">
        <v>68</v>
      </c>
      <c r="L258">
        <v>2.0452179790180099E-2</v>
      </c>
      <c r="M258" t="s">
        <v>103</v>
      </c>
    </row>
    <row r="259" spans="1:13" x14ac:dyDescent="0.2">
      <c r="A259" t="s">
        <v>48</v>
      </c>
      <c r="B259">
        <v>3.22604026838497E-2</v>
      </c>
      <c r="C259">
        <v>7.9950839512021397E-3</v>
      </c>
      <c r="D259">
        <v>6.6014760781058198E-3</v>
      </c>
      <c r="E259">
        <v>1.2111054946814499</v>
      </c>
      <c r="F259">
        <v>0.39553438732937501</v>
      </c>
      <c r="G259">
        <v>8.7934456322678496E-3</v>
      </c>
      <c r="H259">
        <v>44.980591666814703</v>
      </c>
      <c r="I259">
        <v>1.4667765192475299</v>
      </c>
      <c r="J259">
        <v>1</v>
      </c>
      <c r="K259">
        <v>44</v>
      </c>
      <c r="L259">
        <v>0.23231989537690301</v>
      </c>
      <c r="M259" t="s">
        <v>104</v>
      </c>
    </row>
    <row r="260" spans="1:13" x14ac:dyDescent="0.2">
      <c r="A260" t="s">
        <v>48</v>
      </c>
      <c r="B260" s="1">
        <v>3.3950068334936802E-5</v>
      </c>
      <c r="C260">
        <v>2.65312461063711E-4</v>
      </c>
      <c r="D260">
        <v>7.1111202250240899E-3</v>
      </c>
      <c r="E260">
        <v>3.7309517019565301E-2</v>
      </c>
      <c r="F260">
        <v>0.486270921118933</v>
      </c>
      <c r="G260">
        <v>9.2951674027388197E-3</v>
      </c>
      <c r="H260">
        <v>52.314380155827401</v>
      </c>
      <c r="I260">
        <v>1.39200006022958E-3</v>
      </c>
      <c r="J260">
        <v>1</v>
      </c>
      <c r="K260">
        <v>41</v>
      </c>
      <c r="L260">
        <v>0.97041928883591899</v>
      </c>
      <c r="M260" t="s">
        <v>105</v>
      </c>
    </row>
    <row r="261" spans="1:13" x14ac:dyDescent="0.2">
      <c r="A261" t="s">
        <v>49</v>
      </c>
      <c r="B261">
        <v>0.27903593806754301</v>
      </c>
      <c r="C261">
        <v>1.04850413194839E-2</v>
      </c>
      <c r="D261">
        <v>5.6179210202225698E-3</v>
      </c>
      <c r="E261">
        <v>1.86635612742531</v>
      </c>
      <c r="F261">
        <v>0.298476271389222</v>
      </c>
      <c r="G261">
        <v>4.5009547145630196E-3</v>
      </c>
      <c r="H261">
        <v>66.313991212462099</v>
      </c>
      <c r="I261">
        <v>3.4832851943779199</v>
      </c>
      <c r="J261">
        <v>1</v>
      </c>
      <c r="K261">
        <v>9</v>
      </c>
      <c r="L261">
        <v>9.4847952337826405E-2</v>
      </c>
      <c r="M261" t="s">
        <v>76</v>
      </c>
    </row>
    <row r="262" spans="1:13" x14ac:dyDescent="0.2">
      <c r="A262" t="s">
        <v>49</v>
      </c>
      <c r="B262">
        <v>1.7362228457288201E-2</v>
      </c>
      <c r="C262">
        <v>-2.2552608761622499E-2</v>
      </c>
      <c r="D262">
        <v>3.2651933065725003E-2</v>
      </c>
      <c r="E262">
        <v>-0.69069750682835196</v>
      </c>
      <c r="F262">
        <v>0.80519744821052197</v>
      </c>
      <c r="G262">
        <v>3.7607302076348999E-2</v>
      </c>
      <c r="H262">
        <v>21.410667709580402</v>
      </c>
      <c r="I262">
        <v>0.47706304593890397</v>
      </c>
      <c r="J262">
        <v>1</v>
      </c>
      <c r="K262">
        <v>27</v>
      </c>
      <c r="L262">
        <v>0.49565118042058598</v>
      </c>
      <c r="M262" t="s">
        <v>78</v>
      </c>
    </row>
    <row r="263" spans="1:13" x14ac:dyDescent="0.2">
      <c r="A263" t="s">
        <v>49</v>
      </c>
      <c r="B263">
        <v>0.11331139865416499</v>
      </c>
      <c r="C263">
        <v>-1.24789480808573E-2</v>
      </c>
      <c r="D263">
        <v>1.1636047507718499E-2</v>
      </c>
      <c r="E263">
        <v>-1.0724387359693801</v>
      </c>
      <c r="F263">
        <v>0.64719828973222004</v>
      </c>
      <c r="G263">
        <v>9.4965638198661502E-3</v>
      </c>
      <c r="H263">
        <v>68.150786116798002</v>
      </c>
      <c r="I263">
        <v>1.1501248424075901</v>
      </c>
      <c r="J263">
        <v>1</v>
      </c>
      <c r="K263">
        <v>9</v>
      </c>
      <c r="L263">
        <v>0.31143606191106199</v>
      </c>
      <c r="M263" t="s">
        <v>101</v>
      </c>
    </row>
    <row r="264" spans="1:13" x14ac:dyDescent="0.2">
      <c r="A264" t="s">
        <v>49</v>
      </c>
      <c r="B264">
        <v>5.3668717246651097E-3</v>
      </c>
      <c r="C264">
        <v>-1.1463000526688499E-2</v>
      </c>
      <c r="D264">
        <v>3.32703848437753E-2</v>
      </c>
      <c r="E264">
        <v>-0.34454066523469101</v>
      </c>
      <c r="F264">
        <v>1.0961221376713</v>
      </c>
      <c r="G264">
        <v>3.5868044725338999E-2</v>
      </c>
      <c r="H264">
        <v>30.5598519814756</v>
      </c>
      <c r="I264">
        <v>0.11870827000038101</v>
      </c>
      <c r="J264">
        <v>1</v>
      </c>
      <c r="K264">
        <v>22</v>
      </c>
      <c r="L264">
        <v>0.73371155779757802</v>
      </c>
      <c r="M264" t="s">
        <v>102</v>
      </c>
    </row>
    <row r="265" spans="1:13" x14ac:dyDescent="0.2">
      <c r="A265" t="s">
        <v>49</v>
      </c>
      <c r="B265">
        <v>0.11665710575808499</v>
      </c>
      <c r="C265">
        <v>-2.5395181917739099E-2</v>
      </c>
      <c r="D265">
        <v>9.1758518428285002E-3</v>
      </c>
      <c r="E265">
        <v>-2.7676102832443799</v>
      </c>
      <c r="F265">
        <v>0.50994514293932303</v>
      </c>
      <c r="G265">
        <v>1.34880033293005E-2</v>
      </c>
      <c r="H265">
        <v>37.8073114670389</v>
      </c>
      <c r="I265">
        <v>7.6596666799200204</v>
      </c>
      <c r="J265">
        <v>1</v>
      </c>
      <c r="K265">
        <v>58</v>
      </c>
      <c r="L265">
        <v>7.5664694212751503E-3</v>
      </c>
      <c r="M265" t="s">
        <v>103</v>
      </c>
    </row>
    <row r="266" spans="1:13" x14ac:dyDescent="0.2">
      <c r="A266" t="s">
        <v>49</v>
      </c>
      <c r="B266">
        <v>2.0231863736508499E-2</v>
      </c>
      <c r="C266">
        <v>-4.3332630239201397E-3</v>
      </c>
      <c r="D266">
        <v>5.2493048039583198E-3</v>
      </c>
      <c r="E266">
        <v>-0.82549274346815804</v>
      </c>
      <c r="F266">
        <v>0.40874611582114501</v>
      </c>
      <c r="G266">
        <v>6.4662467735333799E-3</v>
      </c>
      <c r="H266">
        <v>63.2122667347248</v>
      </c>
      <c r="I266">
        <v>0.68143826951852204</v>
      </c>
      <c r="J266">
        <v>1</v>
      </c>
      <c r="K266">
        <v>33</v>
      </c>
      <c r="L266">
        <v>0.41501991113930098</v>
      </c>
      <c r="M266" t="s">
        <v>104</v>
      </c>
    </row>
    <row r="267" spans="1:13" x14ac:dyDescent="0.2">
      <c r="A267" t="s">
        <v>49</v>
      </c>
      <c r="B267">
        <v>3.0700398821055801E-4</v>
      </c>
      <c r="C267">
        <v>-6.4478348636391898E-4</v>
      </c>
      <c r="D267">
        <v>6.2192956131992801E-3</v>
      </c>
      <c r="E267">
        <v>-0.103674680617446</v>
      </c>
      <c r="F267">
        <v>0.48497029623856103</v>
      </c>
      <c r="G267">
        <v>7.7246421943359504E-3</v>
      </c>
      <c r="H267">
        <v>62.782234314252499</v>
      </c>
      <c r="I267">
        <v>1.07484394011327E-2</v>
      </c>
      <c r="J267">
        <v>1</v>
      </c>
      <c r="K267">
        <v>35</v>
      </c>
      <c r="L267">
        <v>0.91801931883685395</v>
      </c>
      <c r="M267" t="s">
        <v>105</v>
      </c>
    </row>
    <row r="268" spans="1:13" x14ac:dyDescent="0.2">
      <c r="A268" t="s">
        <v>50</v>
      </c>
      <c r="B268">
        <v>0.51069234351672999</v>
      </c>
      <c r="C268">
        <v>1.5889070014437599E-2</v>
      </c>
      <c r="D268">
        <v>4.1566723564635004E-3</v>
      </c>
      <c r="E268">
        <v>3.8225456932467998</v>
      </c>
      <c r="F268">
        <v>0.29427145950845801</v>
      </c>
      <c r="G268">
        <v>3.7659192953527999E-3</v>
      </c>
      <c r="H268">
        <v>78.140670691375007</v>
      </c>
      <c r="I268">
        <v>14.611855576959901</v>
      </c>
      <c r="J268">
        <v>1</v>
      </c>
      <c r="K268">
        <v>14</v>
      </c>
      <c r="L268">
        <v>1.8658970709085701E-3</v>
      </c>
      <c r="M268" t="s">
        <v>76</v>
      </c>
    </row>
    <row r="269" spans="1:13" x14ac:dyDescent="0.2">
      <c r="A269" t="s">
        <v>50</v>
      </c>
      <c r="B269">
        <v>0.31487777377695902</v>
      </c>
      <c r="C269">
        <v>9.0792426100122101E-2</v>
      </c>
      <c r="D269">
        <v>2.3674872964321601E-2</v>
      </c>
      <c r="E269">
        <v>3.83496993783019</v>
      </c>
      <c r="F269">
        <v>0.67717017740683905</v>
      </c>
      <c r="G269">
        <v>2.8885596728370402E-2</v>
      </c>
      <c r="H269">
        <v>23.443177711532101</v>
      </c>
      <c r="I269">
        <v>14.7069944240613</v>
      </c>
      <c r="J269">
        <v>1</v>
      </c>
      <c r="K269">
        <v>32</v>
      </c>
      <c r="L269">
        <v>5.5551708703440903E-4</v>
      </c>
      <c r="M269" t="s">
        <v>78</v>
      </c>
    </row>
    <row r="270" spans="1:13" x14ac:dyDescent="0.2">
      <c r="A270" t="s">
        <v>50</v>
      </c>
      <c r="B270">
        <v>9.9042417004236799E-2</v>
      </c>
      <c r="C270">
        <v>1.2056179958190799E-2</v>
      </c>
      <c r="D270">
        <v>1.0085085933177401E-2</v>
      </c>
      <c r="E270">
        <v>1.1954464283273001</v>
      </c>
      <c r="F270">
        <v>0.63679447471036499</v>
      </c>
      <c r="G270">
        <v>8.9376323068363003E-3</v>
      </c>
      <c r="H270">
        <v>71.248676701914405</v>
      </c>
      <c r="I270">
        <v>1.42909216300046</v>
      </c>
      <c r="J270">
        <v>1</v>
      </c>
      <c r="K270">
        <v>13</v>
      </c>
      <c r="L270">
        <v>0.25326469911383398</v>
      </c>
      <c r="M270" t="s">
        <v>101</v>
      </c>
    </row>
    <row r="271" spans="1:13" x14ac:dyDescent="0.2">
      <c r="A271" t="s">
        <v>50</v>
      </c>
      <c r="B271">
        <v>0.147077648419698</v>
      </c>
      <c r="C271">
        <v>6.0144705843174898E-2</v>
      </c>
      <c r="D271">
        <v>2.6895511944862598E-2</v>
      </c>
      <c r="E271">
        <v>2.2362357692419201</v>
      </c>
      <c r="F271">
        <v>1.0297173553860199</v>
      </c>
      <c r="G271">
        <v>3.2687947783035499E-2</v>
      </c>
      <c r="H271">
        <v>31.5014378455542</v>
      </c>
      <c r="I271">
        <v>5.0007504156369604</v>
      </c>
      <c r="J271">
        <v>1</v>
      </c>
      <c r="K271">
        <v>29</v>
      </c>
      <c r="L271">
        <v>3.3194422643888902E-2</v>
      </c>
      <c r="M271" t="s">
        <v>102</v>
      </c>
    </row>
    <row r="272" spans="1:13" x14ac:dyDescent="0.2">
      <c r="A272" t="s">
        <v>50</v>
      </c>
      <c r="B272">
        <v>0.23689737058336299</v>
      </c>
      <c r="C272">
        <v>-5.0871516695439802E-2</v>
      </c>
      <c r="D272">
        <v>1.1072140406380999E-2</v>
      </c>
      <c r="E272">
        <v>-4.5945512636492403</v>
      </c>
      <c r="F272">
        <v>0.56630093292474004</v>
      </c>
      <c r="G272">
        <v>1.69402685704267E-2</v>
      </c>
      <c r="H272">
        <v>33.429277143418702</v>
      </c>
      <c r="I272">
        <v>21.109901314300799</v>
      </c>
      <c r="J272">
        <v>1</v>
      </c>
      <c r="K272">
        <v>68</v>
      </c>
      <c r="L272" s="1">
        <v>1.9341813334933199E-5</v>
      </c>
      <c r="M272" t="s">
        <v>103</v>
      </c>
    </row>
    <row r="273" spans="1:13" x14ac:dyDescent="0.2">
      <c r="A273" t="s">
        <v>50</v>
      </c>
      <c r="B273">
        <v>1.15442111260787E-3</v>
      </c>
      <c r="C273">
        <v>-1.1396694936554499E-3</v>
      </c>
      <c r="D273">
        <v>5.11224596748454E-3</v>
      </c>
      <c r="E273">
        <v>-0.22292931539368299</v>
      </c>
      <c r="F273">
        <v>0.41027963013094398</v>
      </c>
      <c r="G273">
        <v>6.7303568968148297E-3</v>
      </c>
      <c r="H273">
        <v>60.959565208958097</v>
      </c>
      <c r="I273">
        <v>4.9697479661903299E-2</v>
      </c>
      <c r="J273">
        <v>1</v>
      </c>
      <c r="K273">
        <v>43</v>
      </c>
      <c r="L273">
        <v>0.82464613386531405</v>
      </c>
      <c r="M273" t="s">
        <v>104</v>
      </c>
    </row>
    <row r="274" spans="1:13" x14ac:dyDescent="0.2">
      <c r="A274" t="s">
        <v>50</v>
      </c>
      <c r="B274">
        <v>7.2938738853997001E-2</v>
      </c>
      <c r="C274">
        <v>-9.2060085116417202E-3</v>
      </c>
      <c r="D274">
        <v>5.2555014530450399E-3</v>
      </c>
      <c r="E274">
        <v>-1.7516898423285101</v>
      </c>
      <c r="F274">
        <v>0.497941563041855</v>
      </c>
      <c r="G274">
        <v>6.7558029312213804E-3</v>
      </c>
      <c r="H274">
        <v>73.705756090169402</v>
      </c>
      <c r="I274">
        <v>3.0684173037167701</v>
      </c>
      <c r="J274">
        <v>1</v>
      </c>
      <c r="K274">
        <v>39</v>
      </c>
      <c r="L274">
        <v>8.7688371642828805E-2</v>
      </c>
      <c r="M274" t="s">
        <v>105</v>
      </c>
    </row>
    <row r="275" spans="1:13" x14ac:dyDescent="0.2">
      <c r="A275" t="s">
        <v>51</v>
      </c>
      <c r="B275">
        <v>0.24275233770837401</v>
      </c>
      <c r="C275">
        <v>1.32287042188048E-2</v>
      </c>
      <c r="D275">
        <v>5.8410991067886402E-3</v>
      </c>
      <c r="E275">
        <v>2.2647628429091702</v>
      </c>
      <c r="F275">
        <v>0.29570364086746898</v>
      </c>
      <c r="G275">
        <v>5.7618028836374001E-3</v>
      </c>
      <c r="H275">
        <v>51.3213740281223</v>
      </c>
      <c r="I275">
        <v>5.1291507346221401</v>
      </c>
      <c r="J275">
        <v>1</v>
      </c>
      <c r="K275">
        <v>16</v>
      </c>
      <c r="L275">
        <v>3.7767693225581898E-2</v>
      </c>
      <c r="M275" t="s">
        <v>76</v>
      </c>
    </row>
    <row r="276" spans="1:13" x14ac:dyDescent="0.2">
      <c r="A276" t="s">
        <v>51</v>
      </c>
      <c r="B276">
        <v>0.183018817241972</v>
      </c>
      <c r="C276">
        <v>9.2862439168353794E-2</v>
      </c>
      <c r="D276">
        <v>3.4153976209616001E-2</v>
      </c>
      <c r="E276">
        <v>2.7189349374263698</v>
      </c>
      <c r="F276">
        <v>0.654761599159987</v>
      </c>
      <c r="G276">
        <v>4.15505251321776E-2</v>
      </c>
      <c r="H276">
        <v>15.7582027441796</v>
      </c>
      <c r="I276">
        <v>7.3926071939577103</v>
      </c>
      <c r="J276">
        <v>1</v>
      </c>
      <c r="K276">
        <v>33</v>
      </c>
      <c r="L276">
        <v>1.03595343443839E-2</v>
      </c>
      <c r="M276" t="s">
        <v>78</v>
      </c>
    </row>
    <row r="277" spans="1:13" x14ac:dyDescent="0.2">
      <c r="A277" t="s">
        <v>51</v>
      </c>
      <c r="B277">
        <v>0.18379135667185001</v>
      </c>
      <c r="C277">
        <v>3.2601979088367102E-2</v>
      </c>
      <c r="D277">
        <v>1.8361916141015799E-2</v>
      </c>
      <c r="E277">
        <v>1.77552161974766</v>
      </c>
      <c r="F277">
        <v>0.61869147837991401</v>
      </c>
      <c r="G277">
        <v>1.69171102391804E-2</v>
      </c>
      <c r="H277">
        <v>36.571936319656501</v>
      </c>
      <c r="I277">
        <v>3.1524770221912601</v>
      </c>
      <c r="J277">
        <v>1</v>
      </c>
      <c r="K277">
        <v>14</v>
      </c>
      <c r="L277">
        <v>9.7544544839545499E-2</v>
      </c>
      <c r="M277" t="s">
        <v>101</v>
      </c>
    </row>
    <row r="278" spans="1:13" x14ac:dyDescent="0.2">
      <c r="A278" t="s">
        <v>51</v>
      </c>
      <c r="B278">
        <v>9.0681049434496799E-2</v>
      </c>
      <c r="C278">
        <v>4.05430108700503E-2</v>
      </c>
      <c r="D278">
        <v>2.34398712973648E-2</v>
      </c>
      <c r="E278">
        <v>1.7296601314789799</v>
      </c>
      <c r="F278">
        <v>1.0465072646009601</v>
      </c>
      <c r="G278">
        <v>2.8250717684101499E-2</v>
      </c>
      <c r="H278">
        <v>37.0435638592608</v>
      </c>
      <c r="I278">
        <v>2.9917241704278501</v>
      </c>
      <c r="J278">
        <v>1</v>
      </c>
      <c r="K278">
        <v>30</v>
      </c>
      <c r="L278">
        <v>9.3969084121053106E-2</v>
      </c>
      <c r="M278" t="s">
        <v>102</v>
      </c>
    </row>
    <row r="279" spans="1:13" x14ac:dyDescent="0.2">
      <c r="A279" t="s">
        <v>51</v>
      </c>
      <c r="B279">
        <v>2.7645616124875498E-3</v>
      </c>
      <c r="C279">
        <v>6.8872613342932298E-3</v>
      </c>
      <c r="D279">
        <v>1.53098468899705E-2</v>
      </c>
      <c r="E279">
        <v>0.44985827642764198</v>
      </c>
      <c r="F279">
        <v>0.48521926940986898</v>
      </c>
      <c r="G279">
        <v>2.3587399648532299E-2</v>
      </c>
      <c r="H279">
        <v>20.571121727700099</v>
      </c>
      <c r="I279">
        <v>0.20237246887045501</v>
      </c>
      <c r="J279">
        <v>1</v>
      </c>
      <c r="K279">
        <v>73</v>
      </c>
      <c r="L279">
        <v>0.65414564784331497</v>
      </c>
      <c r="M279" t="s">
        <v>103</v>
      </c>
    </row>
    <row r="280" spans="1:13" x14ac:dyDescent="0.2">
      <c r="A280" t="s">
        <v>51</v>
      </c>
      <c r="B280">
        <v>4.0083601313229598E-2</v>
      </c>
      <c r="C280">
        <v>-1.3253122966975501E-2</v>
      </c>
      <c r="D280">
        <v>9.7774415378281895E-3</v>
      </c>
      <c r="E280">
        <v>-1.3554796431868401</v>
      </c>
      <c r="F280">
        <v>0.42744565107059501</v>
      </c>
      <c r="G280">
        <v>1.29408899695399E-2</v>
      </c>
      <c r="H280">
        <v>33.030622474707002</v>
      </c>
      <c r="I280">
        <v>1.8373250630939599</v>
      </c>
      <c r="J280">
        <v>1</v>
      </c>
      <c r="K280">
        <v>44</v>
      </c>
      <c r="L280">
        <v>0.182182196792226</v>
      </c>
      <c r="M280" t="s">
        <v>104</v>
      </c>
    </row>
    <row r="281" spans="1:13" x14ac:dyDescent="0.2">
      <c r="A281" t="s">
        <v>51</v>
      </c>
      <c r="B281">
        <v>0.271616842111498</v>
      </c>
      <c r="C281">
        <v>-3.0173379855237201E-2</v>
      </c>
      <c r="D281">
        <v>7.5351401109562703E-3</v>
      </c>
      <c r="E281">
        <v>-4.0043555144202898</v>
      </c>
      <c r="F281">
        <v>0.52825661128720403</v>
      </c>
      <c r="G281">
        <v>9.8371690881581507E-3</v>
      </c>
      <c r="H281">
        <v>53.700064170200399</v>
      </c>
      <c r="I281">
        <v>16.034863085868199</v>
      </c>
      <c r="J281">
        <v>1</v>
      </c>
      <c r="K281">
        <v>43</v>
      </c>
      <c r="L281">
        <v>2.41820800718583E-4</v>
      </c>
      <c r="M281" t="s">
        <v>105</v>
      </c>
    </row>
    <row r="282" spans="1:13" x14ac:dyDescent="0.2">
      <c r="A282" t="s">
        <v>52</v>
      </c>
      <c r="B282">
        <v>0.168346592670816</v>
      </c>
      <c r="C282">
        <v>3.4015958530066999E-3</v>
      </c>
      <c r="D282">
        <v>2.09691128747425E-3</v>
      </c>
      <c r="E282">
        <v>1.62219349637054</v>
      </c>
      <c r="F282">
        <v>0.30231595026083402</v>
      </c>
      <c r="G282">
        <v>1.9275893738158101E-3</v>
      </c>
      <c r="H282">
        <v>156.836281817832</v>
      </c>
      <c r="I282">
        <v>2.63151173966676</v>
      </c>
      <c r="J282">
        <v>1</v>
      </c>
      <c r="K282">
        <v>13</v>
      </c>
      <c r="L282">
        <v>0.128751724409887</v>
      </c>
      <c r="M282" t="s">
        <v>76</v>
      </c>
    </row>
    <row r="283" spans="1:13" x14ac:dyDescent="0.2">
      <c r="A283" t="s">
        <v>52</v>
      </c>
      <c r="B283">
        <v>9.3573026440041104E-2</v>
      </c>
      <c r="C283">
        <v>4.8538123945202301E-2</v>
      </c>
      <c r="D283">
        <v>2.67053989058256E-2</v>
      </c>
      <c r="E283">
        <v>1.8175397460404099</v>
      </c>
      <c r="F283">
        <v>0.72210150030304399</v>
      </c>
      <c r="G283">
        <v>3.2137489073696901E-2</v>
      </c>
      <c r="H283">
        <v>22.469132502764602</v>
      </c>
      <c r="I283">
        <v>3.3034507284367001</v>
      </c>
      <c r="J283">
        <v>1</v>
      </c>
      <c r="K283">
        <v>32</v>
      </c>
      <c r="L283">
        <v>7.8508882705742897E-2</v>
      </c>
      <c r="M283" t="s">
        <v>78</v>
      </c>
    </row>
    <row r="284" spans="1:13" x14ac:dyDescent="0.2">
      <c r="A284" t="s">
        <v>52</v>
      </c>
      <c r="B284" s="1">
        <v>8.4411969851591204E-6</v>
      </c>
      <c r="C284">
        <v>-1.7522468055775899E-4</v>
      </c>
      <c r="D284">
        <v>1.9071788695415801E-2</v>
      </c>
      <c r="E284">
        <v>-9.1876374762833602E-3</v>
      </c>
      <c r="F284">
        <v>0.64253018737634504</v>
      </c>
      <c r="G284">
        <v>1.58104597629233E-2</v>
      </c>
      <c r="H284">
        <v>40.639563745206701</v>
      </c>
      <c r="I284" s="1">
        <v>8.4412682395671305E-5</v>
      </c>
      <c r="J284">
        <v>1</v>
      </c>
      <c r="K284">
        <v>10</v>
      </c>
      <c r="L284">
        <v>0.99285013710699999</v>
      </c>
      <c r="M284" t="s">
        <v>101</v>
      </c>
    </row>
    <row r="285" spans="1:13" x14ac:dyDescent="0.2">
      <c r="A285" t="s">
        <v>52</v>
      </c>
      <c r="B285">
        <v>6.2420144798349501E-2</v>
      </c>
      <c r="C285">
        <v>3.6990524016290799E-2</v>
      </c>
      <c r="D285">
        <v>2.8115483573115101E-2</v>
      </c>
      <c r="E285">
        <v>1.3156638021215601</v>
      </c>
      <c r="F285">
        <v>1.04766959543994</v>
      </c>
      <c r="G285">
        <v>3.00643141717685E-2</v>
      </c>
      <c r="H285">
        <v>34.847613335006102</v>
      </c>
      <c r="I285">
        <v>1.73097124021296</v>
      </c>
      <c r="J285">
        <v>1</v>
      </c>
      <c r="K285">
        <v>26</v>
      </c>
      <c r="L285">
        <v>0.199770841307016</v>
      </c>
      <c r="M285" t="s">
        <v>102</v>
      </c>
    </row>
    <row r="286" spans="1:13" x14ac:dyDescent="0.2">
      <c r="A286" t="s">
        <v>52</v>
      </c>
      <c r="B286">
        <v>3.7437808202133403E-2</v>
      </c>
      <c r="C286">
        <v>-1.2683042084751401E-2</v>
      </c>
      <c r="D286">
        <v>7.9767493803677095E-3</v>
      </c>
      <c r="E286">
        <v>-1.59000132509701</v>
      </c>
      <c r="F286">
        <v>0.49414754556694201</v>
      </c>
      <c r="G286">
        <v>1.2013699216315499E-2</v>
      </c>
      <c r="H286">
        <v>41.132005776859501</v>
      </c>
      <c r="I286">
        <v>2.5281042138103098</v>
      </c>
      <c r="J286">
        <v>1</v>
      </c>
      <c r="K286">
        <v>65</v>
      </c>
      <c r="L286">
        <v>0.116686982192439</v>
      </c>
      <c r="M286" t="s">
        <v>103</v>
      </c>
    </row>
    <row r="287" spans="1:13" x14ac:dyDescent="0.2">
      <c r="A287" t="s">
        <v>52</v>
      </c>
      <c r="B287">
        <v>7.5626906664602103E-2</v>
      </c>
      <c r="C287">
        <v>-8.1994487152780605E-3</v>
      </c>
      <c r="D287">
        <v>4.5902657520326597E-3</v>
      </c>
      <c r="E287">
        <v>-1.7862688476472599</v>
      </c>
      <c r="F287">
        <v>0.41253514626406301</v>
      </c>
      <c r="G287">
        <v>5.8673572723024203E-3</v>
      </c>
      <c r="H287">
        <v>70.310214142146407</v>
      </c>
      <c r="I287">
        <v>3.1907563960749199</v>
      </c>
      <c r="J287">
        <v>1</v>
      </c>
      <c r="K287">
        <v>39</v>
      </c>
      <c r="L287">
        <v>8.1832086250973907E-2</v>
      </c>
      <c r="M287" t="s">
        <v>104</v>
      </c>
    </row>
    <row r="288" spans="1:13" x14ac:dyDescent="0.2">
      <c r="A288" t="s">
        <v>52</v>
      </c>
      <c r="B288">
        <v>4.91136577649069E-2</v>
      </c>
      <c r="C288">
        <v>1.13053725177694E-2</v>
      </c>
      <c r="D288">
        <v>7.9655494598816195E-3</v>
      </c>
      <c r="E288">
        <v>1.41928344989994</v>
      </c>
      <c r="F288">
        <v>0.47113193785704299</v>
      </c>
      <c r="G288">
        <v>1.0140788522957101E-2</v>
      </c>
      <c r="H288">
        <v>46.459102937653903</v>
      </c>
      <c r="I288">
        <v>2.0143655111599101</v>
      </c>
      <c r="J288">
        <v>1</v>
      </c>
      <c r="K288">
        <v>39</v>
      </c>
      <c r="L288">
        <v>0.163760043300647</v>
      </c>
      <c r="M288" t="s">
        <v>105</v>
      </c>
    </row>
    <row r="289" spans="1:13" x14ac:dyDescent="0.2">
      <c r="A289" t="s">
        <v>53</v>
      </c>
      <c r="B289">
        <v>0.239369782092692</v>
      </c>
      <c r="C289">
        <v>1.47602241601763E-2</v>
      </c>
      <c r="D289">
        <v>7.5954665460571703E-3</v>
      </c>
      <c r="E289">
        <v>1.9432939465500401</v>
      </c>
      <c r="F289">
        <v>0.294604248125452</v>
      </c>
      <c r="G289">
        <v>6.70085420118162E-3</v>
      </c>
      <c r="H289">
        <v>43.965178062447897</v>
      </c>
      <c r="I289">
        <v>3.7763913626980599</v>
      </c>
      <c r="J289">
        <v>1</v>
      </c>
      <c r="K289">
        <v>12</v>
      </c>
      <c r="L289">
        <v>7.5808131353098995E-2</v>
      </c>
      <c r="M289" t="s">
        <v>76</v>
      </c>
    </row>
    <row r="290" spans="1:13" x14ac:dyDescent="0.2">
      <c r="A290" t="s">
        <v>53</v>
      </c>
      <c r="B290">
        <v>0.39601802208578002</v>
      </c>
      <c r="C290">
        <v>0.138399997309504</v>
      </c>
      <c r="D290">
        <v>2.93123837691435E-2</v>
      </c>
      <c r="E290">
        <v>4.7215538115052302</v>
      </c>
      <c r="F290">
        <v>0.611094259864154</v>
      </c>
      <c r="G290">
        <v>3.6209266136517003E-2</v>
      </c>
      <c r="H290">
        <v>16.876736953469099</v>
      </c>
      <c r="I290">
        <v>22.293070394939601</v>
      </c>
      <c r="J290">
        <v>1</v>
      </c>
      <c r="K290">
        <v>34</v>
      </c>
      <c r="L290" s="1">
        <v>3.9328926614604199E-5</v>
      </c>
      <c r="M290" t="s">
        <v>78</v>
      </c>
    </row>
    <row r="291" spans="1:13" x14ac:dyDescent="0.2">
      <c r="A291" t="s">
        <v>53</v>
      </c>
      <c r="B291">
        <v>0.36135394870028698</v>
      </c>
      <c r="C291">
        <v>2.32332560289722E-2</v>
      </c>
      <c r="D291">
        <v>8.9162691247101095E-3</v>
      </c>
      <c r="E291">
        <v>2.6057149805611699</v>
      </c>
      <c r="F291">
        <v>0.62436805106481996</v>
      </c>
      <c r="G291">
        <v>7.8364262642178304E-3</v>
      </c>
      <c r="H291">
        <v>79.675100615157703</v>
      </c>
      <c r="I291">
        <v>6.7897505599208099</v>
      </c>
      <c r="J291">
        <v>1</v>
      </c>
      <c r="K291">
        <v>12</v>
      </c>
      <c r="L291">
        <v>2.2982491234879599E-2</v>
      </c>
      <c r="M291" t="s">
        <v>101</v>
      </c>
    </row>
    <row r="292" spans="1:13" x14ac:dyDescent="0.2">
      <c r="A292" t="s">
        <v>53</v>
      </c>
      <c r="B292">
        <v>0.116866925247959</v>
      </c>
      <c r="C292">
        <v>6.08442202961876E-2</v>
      </c>
      <c r="D292">
        <v>3.21887946350616E-2</v>
      </c>
      <c r="E292">
        <v>1.89022984507513</v>
      </c>
      <c r="F292">
        <v>1.02607450776382</v>
      </c>
      <c r="G292">
        <v>3.84342078377913E-2</v>
      </c>
      <c r="H292">
        <v>26.696907923646901</v>
      </c>
      <c r="I292">
        <v>3.5729688672127402</v>
      </c>
      <c r="J292">
        <v>1</v>
      </c>
      <c r="K292">
        <v>27</v>
      </c>
      <c r="L292">
        <v>6.9506669363791004E-2</v>
      </c>
      <c r="M292" t="s">
        <v>102</v>
      </c>
    </row>
    <row r="293" spans="1:13" x14ac:dyDescent="0.2">
      <c r="A293" t="s">
        <v>53</v>
      </c>
      <c r="B293">
        <v>8.4399340683437296E-4</v>
      </c>
      <c r="C293">
        <v>-3.7239819225058299E-3</v>
      </c>
      <c r="D293">
        <v>1.5314600383112E-2</v>
      </c>
      <c r="E293">
        <v>-0.24316546493843799</v>
      </c>
      <c r="F293">
        <v>0.49325052808209102</v>
      </c>
      <c r="G293">
        <v>2.3365790505508799E-2</v>
      </c>
      <c r="H293">
        <v>21.109943956991302</v>
      </c>
      <c r="I293">
        <v>5.9129443338733802E-2</v>
      </c>
      <c r="J293">
        <v>1</v>
      </c>
      <c r="K293">
        <v>70</v>
      </c>
      <c r="L293">
        <v>0.80858838179790904</v>
      </c>
      <c r="M293" t="s">
        <v>103</v>
      </c>
    </row>
    <row r="294" spans="1:13" x14ac:dyDescent="0.2">
      <c r="A294" t="s">
        <v>53</v>
      </c>
      <c r="B294">
        <v>2.4640707141688398E-2</v>
      </c>
      <c r="C294">
        <v>1.0642501821456899E-2</v>
      </c>
      <c r="D294">
        <v>1.0210928494277301E-2</v>
      </c>
      <c r="E294">
        <v>1.0422658260139199</v>
      </c>
      <c r="F294">
        <v>0.40052394773390398</v>
      </c>
      <c r="G294">
        <v>1.35392575187958E-2</v>
      </c>
      <c r="H294">
        <v>29.5824159617231</v>
      </c>
      <c r="I294">
        <v>1.0863180520765501</v>
      </c>
      <c r="J294">
        <v>1</v>
      </c>
      <c r="K294">
        <v>43</v>
      </c>
      <c r="L294">
        <v>0.30311313653612798</v>
      </c>
      <c r="M294" t="s">
        <v>104</v>
      </c>
    </row>
    <row r="295" spans="1:13" x14ac:dyDescent="0.2">
      <c r="A295" t="s">
        <v>53</v>
      </c>
      <c r="B295">
        <v>8.2325732630656498E-2</v>
      </c>
      <c r="C295">
        <v>-1.62574528193528E-2</v>
      </c>
      <c r="D295">
        <v>8.3753763610525701E-3</v>
      </c>
      <c r="E295">
        <v>-1.94110116590744</v>
      </c>
      <c r="F295">
        <v>0.50909534265263301</v>
      </c>
      <c r="G295">
        <v>1.10006693275039E-2</v>
      </c>
      <c r="H295">
        <v>46.278578829725603</v>
      </c>
      <c r="I295">
        <v>3.7678737362872301</v>
      </c>
      <c r="J295">
        <v>1</v>
      </c>
      <c r="K295">
        <v>42</v>
      </c>
      <c r="L295">
        <v>5.8976110957753597E-2</v>
      </c>
      <c r="M295" t="s">
        <v>105</v>
      </c>
    </row>
    <row r="296" spans="1:13" x14ac:dyDescent="0.2">
      <c r="A296" t="s">
        <v>54</v>
      </c>
      <c r="B296">
        <v>0.49858636804446499</v>
      </c>
      <c r="C296">
        <v>9.8507803570221306E-3</v>
      </c>
      <c r="D296">
        <v>3.4926374834473501E-3</v>
      </c>
      <c r="E296">
        <v>2.8204416873230902</v>
      </c>
      <c r="F296">
        <v>0.297921498463183</v>
      </c>
      <c r="G296">
        <v>2.9324439748460601E-3</v>
      </c>
      <c r="H296">
        <v>101.594949816159</v>
      </c>
      <c r="I296">
        <v>7.9548913115896998</v>
      </c>
      <c r="J296">
        <v>1</v>
      </c>
      <c r="K296">
        <v>8</v>
      </c>
      <c r="L296">
        <v>2.24785850770443E-2</v>
      </c>
      <c r="M296" t="s">
        <v>76</v>
      </c>
    </row>
    <row r="297" spans="1:13" x14ac:dyDescent="0.2">
      <c r="A297" t="s">
        <v>54</v>
      </c>
      <c r="B297">
        <v>1.8321484222689501E-4</v>
      </c>
      <c r="C297">
        <v>2.29836704287993E-3</v>
      </c>
      <c r="D297">
        <v>3.39569962340905E-2</v>
      </c>
      <c r="E297">
        <v>6.7684639331335394E-2</v>
      </c>
      <c r="F297">
        <v>0.77151717201338499</v>
      </c>
      <c r="G297">
        <v>3.6972092143883598E-2</v>
      </c>
      <c r="H297">
        <v>20.8675551551393</v>
      </c>
      <c r="I297">
        <v>4.5812104014132703E-3</v>
      </c>
      <c r="J297">
        <v>1</v>
      </c>
      <c r="K297">
        <v>25</v>
      </c>
      <c r="L297">
        <v>0.94657510748908402</v>
      </c>
      <c r="M297" t="s">
        <v>78</v>
      </c>
    </row>
    <row r="298" spans="1:13" x14ac:dyDescent="0.2">
      <c r="A298" t="s">
        <v>54</v>
      </c>
      <c r="B298">
        <v>0.11095493749883401</v>
      </c>
      <c r="C298">
        <v>-1.40083347171554E-2</v>
      </c>
      <c r="D298">
        <v>1.2539351624914E-2</v>
      </c>
      <c r="E298">
        <v>-1.11714984444034</v>
      </c>
      <c r="F298">
        <v>0.64988373307701297</v>
      </c>
      <c r="G298">
        <v>1.03171461979787E-2</v>
      </c>
      <c r="H298">
        <v>62.990648829260302</v>
      </c>
      <c r="I298">
        <v>1.2480237749331</v>
      </c>
      <c r="J298">
        <v>1</v>
      </c>
      <c r="K298">
        <v>10</v>
      </c>
      <c r="L298">
        <v>0.29005177142385402</v>
      </c>
      <c r="M298" t="s">
        <v>101</v>
      </c>
    </row>
    <row r="299" spans="1:13" x14ac:dyDescent="0.2">
      <c r="A299" t="s">
        <v>54</v>
      </c>
      <c r="B299">
        <v>9.8768035812058005E-3</v>
      </c>
      <c r="C299">
        <v>1.4341302236108701E-2</v>
      </c>
      <c r="D299">
        <v>3.2107759381315298E-2</v>
      </c>
      <c r="E299">
        <v>0.44666157067485701</v>
      </c>
      <c r="F299">
        <v>1.07416986247559</v>
      </c>
      <c r="G299">
        <v>3.4032232195188201E-2</v>
      </c>
      <c r="H299">
        <v>31.5633090511019</v>
      </c>
      <c r="I299">
        <v>0.19950655871773301</v>
      </c>
      <c r="J299">
        <v>1</v>
      </c>
      <c r="K299">
        <v>20</v>
      </c>
      <c r="L299">
        <v>0.65991839359126503</v>
      </c>
      <c r="M299" t="s">
        <v>102</v>
      </c>
    </row>
    <row r="300" spans="1:13" x14ac:dyDescent="0.2">
      <c r="A300" t="s">
        <v>54</v>
      </c>
      <c r="B300">
        <v>0.23098714727689401</v>
      </c>
      <c r="C300">
        <v>-3.5312834246300502E-2</v>
      </c>
      <c r="D300">
        <v>8.6101646002926194E-3</v>
      </c>
      <c r="E300">
        <v>-4.1012960710530901</v>
      </c>
      <c r="F300">
        <v>0.52306864024135802</v>
      </c>
      <c r="G300">
        <v>1.26253674746916E-2</v>
      </c>
      <c r="H300">
        <v>41.429973526702199</v>
      </c>
      <c r="I300">
        <v>16.8206294624358</v>
      </c>
      <c r="J300">
        <v>1</v>
      </c>
      <c r="K300">
        <v>56</v>
      </c>
      <c r="L300">
        <v>1.3430390675107001E-4</v>
      </c>
      <c r="M300" t="s">
        <v>103</v>
      </c>
    </row>
    <row r="301" spans="1:13" x14ac:dyDescent="0.2">
      <c r="A301" t="s">
        <v>54</v>
      </c>
      <c r="B301" s="1">
        <v>3.2422917538839397E-5</v>
      </c>
      <c r="C301">
        <v>-1.9818909225085399E-4</v>
      </c>
      <c r="D301">
        <v>5.88318682280579E-3</v>
      </c>
      <c r="E301">
        <v>-3.3687370165194602E-2</v>
      </c>
      <c r="F301">
        <v>0.40151529850710699</v>
      </c>
      <c r="G301">
        <v>7.3552331367793102E-3</v>
      </c>
      <c r="H301">
        <v>54.589064825064199</v>
      </c>
      <c r="I301">
        <v>1.13483890864773E-3</v>
      </c>
      <c r="J301">
        <v>1</v>
      </c>
      <c r="K301">
        <v>35</v>
      </c>
      <c r="L301">
        <v>0.973317838623878</v>
      </c>
      <c r="M301" t="s">
        <v>104</v>
      </c>
    </row>
    <row r="302" spans="1:13" x14ac:dyDescent="0.2">
      <c r="A302" t="s">
        <v>54</v>
      </c>
      <c r="B302">
        <v>2.7687258938686898E-2</v>
      </c>
      <c r="C302">
        <v>-5.0856678606727096E-3</v>
      </c>
      <c r="D302">
        <v>5.1685835632347002E-3</v>
      </c>
      <c r="E302">
        <v>-0.98395775137471198</v>
      </c>
      <c r="F302">
        <v>0.49097085240063598</v>
      </c>
      <c r="G302">
        <v>6.4501181560806297E-3</v>
      </c>
      <c r="H302">
        <v>76.118117609642596</v>
      </c>
      <c r="I302">
        <v>0.96817285649041196</v>
      </c>
      <c r="J302">
        <v>1</v>
      </c>
      <c r="K302">
        <v>34</v>
      </c>
      <c r="L302">
        <v>0.33208682088443597</v>
      </c>
      <c r="M302" t="s">
        <v>105</v>
      </c>
    </row>
    <row r="303" spans="1:13" x14ac:dyDescent="0.2">
      <c r="A303" t="s">
        <v>55</v>
      </c>
      <c r="B303">
        <v>0.40627674647734002</v>
      </c>
      <c r="C303">
        <v>1.00728599730966E-2</v>
      </c>
      <c r="D303">
        <v>3.51514480282349E-3</v>
      </c>
      <c r="E303">
        <v>2.8655604642533299</v>
      </c>
      <c r="F303">
        <v>0.297734773329078</v>
      </c>
      <c r="G303">
        <v>3.0508326682223302E-3</v>
      </c>
      <c r="H303">
        <v>97.591315456367795</v>
      </c>
      <c r="I303">
        <v>8.2114367742916805</v>
      </c>
      <c r="J303">
        <v>1</v>
      </c>
      <c r="K303">
        <v>12</v>
      </c>
      <c r="L303">
        <v>1.4206421589946E-2</v>
      </c>
      <c r="M303" t="s">
        <v>76</v>
      </c>
    </row>
    <row r="304" spans="1:13" x14ac:dyDescent="0.2">
      <c r="A304" t="s">
        <v>55</v>
      </c>
      <c r="B304">
        <v>0.31511112068181801</v>
      </c>
      <c r="C304">
        <v>0.112507896305688</v>
      </c>
      <c r="D304">
        <v>2.88738187828705E-2</v>
      </c>
      <c r="E304">
        <v>3.8965367605768</v>
      </c>
      <c r="F304">
        <v>0.64410419328440005</v>
      </c>
      <c r="G304">
        <v>3.48307091981939E-2</v>
      </c>
      <c r="H304">
        <v>18.492422580870102</v>
      </c>
      <c r="I304">
        <v>15.1829987265263</v>
      </c>
      <c r="J304">
        <v>1</v>
      </c>
      <c r="K304">
        <v>33</v>
      </c>
      <c r="L304">
        <v>4.5087179909348901E-4</v>
      </c>
      <c r="M304" t="s">
        <v>78</v>
      </c>
    </row>
    <row r="305" spans="1:13" x14ac:dyDescent="0.2">
      <c r="A305" t="s">
        <v>55</v>
      </c>
      <c r="B305">
        <v>0.22710650420690801</v>
      </c>
      <c r="C305">
        <v>3.11721731859552E-2</v>
      </c>
      <c r="D305">
        <v>1.59492565672146E-2</v>
      </c>
      <c r="E305">
        <v>1.95445932257638</v>
      </c>
      <c r="F305">
        <v>0.62220876886643195</v>
      </c>
      <c r="G305">
        <v>1.42122560161151E-2</v>
      </c>
      <c r="H305">
        <v>43.779732658975398</v>
      </c>
      <c r="I305">
        <v>3.8199112436057598</v>
      </c>
      <c r="J305">
        <v>1</v>
      </c>
      <c r="K305">
        <v>13</v>
      </c>
      <c r="L305">
        <v>7.2499872125887099E-2</v>
      </c>
      <c r="M305" t="s">
        <v>101</v>
      </c>
    </row>
    <row r="306" spans="1:13" x14ac:dyDescent="0.2">
      <c r="A306" t="s">
        <v>55</v>
      </c>
      <c r="B306">
        <v>0.14609442488707999</v>
      </c>
      <c r="C306">
        <v>5.7107527419741698E-2</v>
      </c>
      <c r="D306">
        <v>2.5206980914604601E-2</v>
      </c>
      <c r="E306">
        <v>2.2655441210198402</v>
      </c>
      <c r="F306">
        <v>1.0353722772894001</v>
      </c>
      <c r="G306">
        <v>3.0963040715297301E-2</v>
      </c>
      <c r="H306">
        <v>33.438972832467201</v>
      </c>
      <c r="I306">
        <v>5.1326901642875704</v>
      </c>
      <c r="J306">
        <v>1</v>
      </c>
      <c r="K306">
        <v>30</v>
      </c>
      <c r="L306">
        <v>3.08591791897465E-2</v>
      </c>
      <c r="M306" t="s">
        <v>102</v>
      </c>
    </row>
    <row r="307" spans="1:13" x14ac:dyDescent="0.2">
      <c r="A307" t="s">
        <v>55</v>
      </c>
      <c r="B307">
        <v>6.7559421981381498E-2</v>
      </c>
      <c r="C307">
        <v>-2.5502030293684599E-2</v>
      </c>
      <c r="D307">
        <v>1.16619294392696E-2</v>
      </c>
      <c r="E307">
        <v>-2.1867762471457599</v>
      </c>
      <c r="F307">
        <v>0.523788415421369</v>
      </c>
      <c r="G307">
        <v>1.7467384101754201E-2</v>
      </c>
      <c r="H307">
        <v>29.986654691400901</v>
      </c>
      <c r="I307">
        <v>4.7819903550809899</v>
      </c>
      <c r="J307">
        <v>1</v>
      </c>
      <c r="K307">
        <v>66</v>
      </c>
      <c r="L307">
        <v>3.2308490010462702E-2</v>
      </c>
      <c r="M307" t="s">
        <v>103</v>
      </c>
    </row>
    <row r="308" spans="1:13" x14ac:dyDescent="0.2">
      <c r="A308" t="s">
        <v>55</v>
      </c>
      <c r="B308">
        <v>6.2724199507408201E-4</v>
      </c>
      <c r="C308">
        <v>-1.19735268609451E-3</v>
      </c>
      <c r="D308">
        <v>7.2051320430799801E-3</v>
      </c>
      <c r="E308">
        <v>-0.16618053339417799</v>
      </c>
      <c r="F308">
        <v>0.40675668252198699</v>
      </c>
      <c r="G308">
        <v>9.5580630384277301E-3</v>
      </c>
      <c r="H308">
        <v>42.556392533366001</v>
      </c>
      <c r="I308">
        <v>2.7615969679177101E-2</v>
      </c>
      <c r="J308">
        <v>1</v>
      </c>
      <c r="K308">
        <v>44</v>
      </c>
      <c r="L308">
        <v>0.86877616422542203</v>
      </c>
      <c r="M308" t="s">
        <v>104</v>
      </c>
    </row>
    <row r="309" spans="1:13" x14ac:dyDescent="0.2">
      <c r="A309" t="s">
        <v>55</v>
      </c>
      <c r="B309">
        <v>0.235810854582996</v>
      </c>
      <c r="C309">
        <v>-2.3266821223552701E-2</v>
      </c>
      <c r="D309">
        <v>6.5412938747505403E-3</v>
      </c>
      <c r="E309">
        <v>-3.5569142235548901</v>
      </c>
      <c r="F309">
        <v>0.516482328318842</v>
      </c>
      <c r="G309">
        <v>8.5057430139501497E-3</v>
      </c>
      <c r="H309">
        <v>60.721600390673203</v>
      </c>
      <c r="I309">
        <v>12.651638793727001</v>
      </c>
      <c r="J309">
        <v>1</v>
      </c>
      <c r="K309">
        <v>41</v>
      </c>
      <c r="L309">
        <v>9.6376954764314997E-4</v>
      </c>
      <c r="M309" t="s">
        <v>105</v>
      </c>
    </row>
    <row r="310" spans="1:13" x14ac:dyDescent="0.2">
      <c r="A310" t="s">
        <v>56</v>
      </c>
      <c r="B310">
        <v>0.39046802011091902</v>
      </c>
      <c r="C310">
        <v>2.3898222458892001E-2</v>
      </c>
      <c r="D310">
        <v>8.2813175160432496E-3</v>
      </c>
      <c r="E310">
        <v>2.8857995617960999</v>
      </c>
      <c r="F310">
        <v>0.28670659600858001</v>
      </c>
      <c r="G310">
        <v>7.9828679733194106E-3</v>
      </c>
      <c r="H310">
        <v>35.915237101104601</v>
      </c>
      <c r="I310">
        <v>8.3278391108628291</v>
      </c>
      <c r="J310">
        <v>1</v>
      </c>
      <c r="K310">
        <v>13</v>
      </c>
      <c r="L310">
        <v>1.2750719360454001E-2</v>
      </c>
      <c r="M310" t="s">
        <v>76</v>
      </c>
    </row>
    <row r="311" spans="1:13" x14ac:dyDescent="0.2">
      <c r="A311" t="s">
        <v>56</v>
      </c>
      <c r="B311">
        <v>0.262842731768759</v>
      </c>
      <c r="C311">
        <v>8.1314860090622401E-2</v>
      </c>
      <c r="D311">
        <v>2.37052772471977E-2</v>
      </c>
      <c r="E311">
        <v>3.4302429472844498</v>
      </c>
      <c r="F311">
        <v>0.68288973088644001</v>
      </c>
      <c r="G311">
        <v>2.9324327754216398E-2</v>
      </c>
      <c r="H311">
        <v>23.287481186614801</v>
      </c>
      <c r="I311">
        <v>11.7665666773947</v>
      </c>
      <c r="J311">
        <v>1</v>
      </c>
      <c r="K311">
        <v>33</v>
      </c>
      <c r="L311">
        <v>1.63843985096588E-3</v>
      </c>
      <c r="M311" t="s">
        <v>78</v>
      </c>
    </row>
    <row r="312" spans="1:13" x14ac:dyDescent="0.2">
      <c r="A312" t="s">
        <v>56</v>
      </c>
      <c r="B312">
        <v>8.5777069242041204E-2</v>
      </c>
      <c r="C312">
        <v>1.4213073388248501E-2</v>
      </c>
      <c r="D312">
        <v>1.28693548408619E-2</v>
      </c>
      <c r="E312">
        <v>1.1044122696127801</v>
      </c>
      <c r="F312">
        <v>0.636569477592413</v>
      </c>
      <c r="G312">
        <v>1.1565094924764501E-2</v>
      </c>
      <c r="H312">
        <v>55.042304601349997</v>
      </c>
      <c r="I312">
        <v>1.2197264612713601</v>
      </c>
      <c r="J312">
        <v>1</v>
      </c>
      <c r="K312">
        <v>13</v>
      </c>
      <c r="L312">
        <v>0.289437057987119</v>
      </c>
      <c r="M312" t="s">
        <v>101</v>
      </c>
    </row>
    <row r="313" spans="1:13" x14ac:dyDescent="0.2">
      <c r="A313" t="s">
        <v>56</v>
      </c>
      <c r="B313">
        <v>0.24829631400415</v>
      </c>
      <c r="C313">
        <v>6.9281406658019198E-2</v>
      </c>
      <c r="D313">
        <v>2.2384938294456799E-2</v>
      </c>
      <c r="E313">
        <v>3.0950010112458299</v>
      </c>
      <c r="F313">
        <v>1.01577263598992</v>
      </c>
      <c r="G313">
        <v>2.7308812211863601E-2</v>
      </c>
      <c r="H313">
        <v>37.1957823763804</v>
      </c>
      <c r="I313">
        <v>9.5790312596127301</v>
      </c>
      <c r="J313">
        <v>1</v>
      </c>
      <c r="K313">
        <v>29</v>
      </c>
      <c r="L313">
        <v>4.3325284993766498E-3</v>
      </c>
      <c r="M313" t="s">
        <v>102</v>
      </c>
    </row>
    <row r="314" spans="1:13" x14ac:dyDescent="0.2">
      <c r="A314" t="s">
        <v>56</v>
      </c>
      <c r="B314">
        <v>0.15433806873932099</v>
      </c>
      <c r="C314">
        <v>-3.9607030219115297E-2</v>
      </c>
      <c r="D314">
        <v>1.10811572848312E-2</v>
      </c>
      <c r="E314">
        <v>-3.5742683910220099</v>
      </c>
      <c r="F314">
        <v>0.54960631632586099</v>
      </c>
      <c r="G314">
        <v>1.7231562071618901E-2</v>
      </c>
      <c r="H314">
        <v>31.895327541493501</v>
      </c>
      <c r="I314">
        <v>12.775394531059</v>
      </c>
      <c r="J314">
        <v>1</v>
      </c>
      <c r="K314">
        <v>70</v>
      </c>
      <c r="L314">
        <v>6.4128494036958395E-4</v>
      </c>
      <c r="M314" t="s">
        <v>103</v>
      </c>
    </row>
    <row r="315" spans="1:13" x14ac:dyDescent="0.2">
      <c r="A315" t="s">
        <v>56</v>
      </c>
      <c r="B315">
        <v>3.2744521256931401E-3</v>
      </c>
      <c r="C315">
        <v>-2.40663259839837E-3</v>
      </c>
      <c r="D315">
        <v>6.4789349911791704E-3</v>
      </c>
      <c r="E315">
        <v>-0.37145496932364802</v>
      </c>
      <c r="F315">
        <v>0.410126572739058</v>
      </c>
      <c r="G315">
        <v>8.5115414179299902E-3</v>
      </c>
      <c r="H315">
        <v>48.184759093706099</v>
      </c>
      <c r="I315">
        <v>0.13797879423519599</v>
      </c>
      <c r="J315">
        <v>1</v>
      </c>
      <c r="K315">
        <v>42</v>
      </c>
      <c r="L315">
        <v>0.71216605061687999</v>
      </c>
      <c r="M315" t="s">
        <v>104</v>
      </c>
    </row>
    <row r="316" spans="1:13" x14ac:dyDescent="0.2">
      <c r="A316" t="s">
        <v>56</v>
      </c>
      <c r="B316">
        <v>2.1938653830930199E-2</v>
      </c>
      <c r="C316">
        <v>-5.5760075706480202E-3</v>
      </c>
      <c r="D316">
        <v>5.8866934313787402E-3</v>
      </c>
      <c r="E316">
        <v>-0.94722234742604094</v>
      </c>
      <c r="F316">
        <v>0.49402265118357203</v>
      </c>
      <c r="G316">
        <v>7.6552159270156604E-3</v>
      </c>
      <c r="H316">
        <v>64.534123647661005</v>
      </c>
      <c r="I316">
        <v>0.89723017546336203</v>
      </c>
      <c r="J316">
        <v>1</v>
      </c>
      <c r="K316">
        <v>40</v>
      </c>
      <c r="L316">
        <v>0.34921306625807402</v>
      </c>
      <c r="M316" t="s">
        <v>105</v>
      </c>
    </row>
    <row r="317" spans="1:13" x14ac:dyDescent="0.2">
      <c r="A317" t="s">
        <v>57</v>
      </c>
      <c r="B317">
        <v>0.290946954065882</v>
      </c>
      <c r="C317">
        <v>1.34301115756665E-2</v>
      </c>
      <c r="D317">
        <v>5.4133542375709599E-3</v>
      </c>
      <c r="E317">
        <v>2.4809223609376598</v>
      </c>
      <c r="F317">
        <v>0.295545977452847</v>
      </c>
      <c r="G317">
        <v>5.0983803730730998E-3</v>
      </c>
      <c r="H317">
        <v>57.968600972528797</v>
      </c>
      <c r="I317">
        <v>6.1549757610007099</v>
      </c>
      <c r="J317">
        <v>1</v>
      </c>
      <c r="K317">
        <v>15</v>
      </c>
      <c r="L317">
        <v>2.54453175027217E-2</v>
      </c>
      <c r="M317" t="s">
        <v>76</v>
      </c>
    </row>
    <row r="318" spans="1:13" x14ac:dyDescent="0.2">
      <c r="A318" t="s">
        <v>57</v>
      </c>
      <c r="B318">
        <v>0.176904571394049</v>
      </c>
      <c r="C318">
        <v>7.6273608288823E-2</v>
      </c>
      <c r="D318">
        <v>2.8215672160564201E-2</v>
      </c>
      <c r="E318">
        <v>2.7032355584081098</v>
      </c>
      <c r="F318">
        <v>0.68289514299239396</v>
      </c>
      <c r="G318">
        <v>3.4709329316153198E-2</v>
      </c>
      <c r="H318">
        <v>19.674685637748301</v>
      </c>
      <c r="I318">
        <v>7.3074824842420103</v>
      </c>
      <c r="J318">
        <v>1</v>
      </c>
      <c r="K318">
        <v>34</v>
      </c>
      <c r="L318">
        <v>1.06417085562171E-2</v>
      </c>
      <c r="M318" t="s">
        <v>78</v>
      </c>
    </row>
    <row r="319" spans="1:13" x14ac:dyDescent="0.2">
      <c r="A319" t="s">
        <v>57</v>
      </c>
      <c r="B319">
        <v>0.136741613090787</v>
      </c>
      <c r="C319">
        <v>2.2976766668051599E-2</v>
      </c>
      <c r="D319">
        <v>1.54292547583778E-2</v>
      </c>
      <c r="E319">
        <v>1.4891689214980099</v>
      </c>
      <c r="F319">
        <v>0.62632893904750098</v>
      </c>
      <c r="G319">
        <v>1.42633962257966E-2</v>
      </c>
      <c r="H319">
        <v>43.911627296360898</v>
      </c>
      <c r="I319">
        <v>2.2176240767555302</v>
      </c>
      <c r="J319">
        <v>1</v>
      </c>
      <c r="K319">
        <v>14</v>
      </c>
      <c r="L319">
        <v>0.15862222487262401</v>
      </c>
      <c r="M319" t="s">
        <v>101</v>
      </c>
    </row>
    <row r="320" spans="1:13" x14ac:dyDescent="0.2">
      <c r="A320" t="s">
        <v>57</v>
      </c>
      <c r="B320">
        <v>0.21368266428803601</v>
      </c>
      <c r="C320">
        <v>5.8623172357265198E-2</v>
      </c>
      <c r="D320">
        <v>2.0531608251714399E-2</v>
      </c>
      <c r="E320">
        <v>2.8552645091682098</v>
      </c>
      <c r="F320">
        <v>1.03454582504071</v>
      </c>
      <c r="G320">
        <v>2.51343937940838E-2</v>
      </c>
      <c r="H320">
        <v>41.160564026979898</v>
      </c>
      <c r="I320">
        <v>8.1525354173156703</v>
      </c>
      <c r="J320">
        <v>1</v>
      </c>
      <c r="K320">
        <v>30</v>
      </c>
      <c r="L320">
        <v>7.7296275522697796E-3</v>
      </c>
      <c r="M320" t="s">
        <v>102</v>
      </c>
    </row>
    <row r="321" spans="1:13" x14ac:dyDescent="0.2">
      <c r="A321" t="s">
        <v>57</v>
      </c>
      <c r="B321">
        <v>2.56326146328336E-2</v>
      </c>
      <c r="C321">
        <v>1.8349255763071299E-2</v>
      </c>
      <c r="D321">
        <v>1.3332669729044301E-2</v>
      </c>
      <c r="E321">
        <v>1.3762626792666099</v>
      </c>
      <c r="F321">
        <v>0.46189985943974399</v>
      </c>
      <c r="G321">
        <v>2.0574424537111301E-2</v>
      </c>
      <c r="H321">
        <v>22.450195805311001</v>
      </c>
      <c r="I321">
        <v>1.89409896234218</v>
      </c>
      <c r="J321">
        <v>1</v>
      </c>
      <c r="K321">
        <v>72</v>
      </c>
      <c r="L321">
        <v>0.173005740349677</v>
      </c>
      <c r="M321" t="s">
        <v>103</v>
      </c>
    </row>
    <row r="322" spans="1:13" x14ac:dyDescent="0.2">
      <c r="A322" t="s">
        <v>57</v>
      </c>
      <c r="B322">
        <v>1.6865936553946401E-2</v>
      </c>
      <c r="C322">
        <v>-7.0277823830823399E-3</v>
      </c>
      <c r="D322">
        <v>8.1824850018064402E-3</v>
      </c>
      <c r="E322">
        <v>-0.858881181148615</v>
      </c>
      <c r="F322">
        <v>0.41569137168628301</v>
      </c>
      <c r="G322">
        <v>1.07615409517715E-2</v>
      </c>
      <c r="H322">
        <v>38.627495221105399</v>
      </c>
      <c r="I322">
        <v>0.73767688333127202</v>
      </c>
      <c r="J322">
        <v>1</v>
      </c>
      <c r="K322">
        <v>43</v>
      </c>
      <c r="L322">
        <v>0.39516881207176202</v>
      </c>
      <c r="M322" t="s">
        <v>104</v>
      </c>
    </row>
    <row r="323" spans="1:13" x14ac:dyDescent="0.2">
      <c r="A323" t="s">
        <v>57</v>
      </c>
      <c r="B323">
        <v>0.12469513472884</v>
      </c>
      <c r="C323">
        <v>-1.7388344776003001E-2</v>
      </c>
      <c r="D323">
        <v>6.9452330201656498E-3</v>
      </c>
      <c r="E323">
        <v>-2.5036373474461602</v>
      </c>
      <c r="F323">
        <v>0.51200091337956199</v>
      </c>
      <c r="G323">
        <v>9.1991477179911192E-3</v>
      </c>
      <c r="H323">
        <v>55.657429261432803</v>
      </c>
      <c r="I323">
        <v>6.2681999675270603</v>
      </c>
      <c r="J323">
        <v>1</v>
      </c>
      <c r="K323">
        <v>44</v>
      </c>
      <c r="L323">
        <v>1.6075624432377599E-2</v>
      </c>
      <c r="M323" t="s">
        <v>105</v>
      </c>
    </row>
    <row r="324" spans="1:13" x14ac:dyDescent="0.2">
      <c r="A324" t="s">
        <v>58</v>
      </c>
      <c r="B324">
        <v>0.33160489415817901</v>
      </c>
      <c r="C324">
        <v>1.01486669033585E-2</v>
      </c>
      <c r="D324">
        <v>4.80279343702126E-3</v>
      </c>
      <c r="E324">
        <v>2.1130758664592402</v>
      </c>
      <c r="F324">
        <v>0.29797709251836701</v>
      </c>
      <c r="G324">
        <v>4.1995254423265998E-3</v>
      </c>
      <c r="H324">
        <v>70.954943983690598</v>
      </c>
      <c r="I324">
        <v>4.4650896174124499</v>
      </c>
      <c r="J324">
        <v>1</v>
      </c>
      <c r="K324">
        <v>9</v>
      </c>
      <c r="L324">
        <v>6.3750560139700596E-2</v>
      </c>
      <c r="M324" t="s">
        <v>76</v>
      </c>
    </row>
    <row r="325" spans="1:13" x14ac:dyDescent="0.2">
      <c r="A325" t="s">
        <v>58</v>
      </c>
      <c r="B325">
        <v>1.7835193550891301E-3</v>
      </c>
      <c r="C325">
        <v>4.7495968048733503E-3</v>
      </c>
      <c r="D325">
        <v>2.1234947061326399E-2</v>
      </c>
      <c r="E325">
        <v>0.22366887900198401</v>
      </c>
      <c r="F325">
        <v>0.77829232920056102</v>
      </c>
      <c r="G325">
        <v>2.5162588052179701E-2</v>
      </c>
      <c r="H325">
        <v>30.930535745632199</v>
      </c>
      <c r="I325">
        <v>5.00277674340062E-2</v>
      </c>
      <c r="J325">
        <v>1</v>
      </c>
      <c r="K325">
        <v>28</v>
      </c>
      <c r="L325">
        <v>0.82463889137643998</v>
      </c>
      <c r="M325" t="s">
        <v>78</v>
      </c>
    </row>
    <row r="326" spans="1:13" x14ac:dyDescent="0.2">
      <c r="A326" t="s">
        <v>58</v>
      </c>
      <c r="B326">
        <v>8.3798294361580497E-2</v>
      </c>
      <c r="C326">
        <v>-1.2373461337810299E-2</v>
      </c>
      <c r="D326">
        <v>1.23359562802194E-2</v>
      </c>
      <c r="E326">
        <v>-1.0030403040298601</v>
      </c>
      <c r="F326">
        <v>0.65020618005026598</v>
      </c>
      <c r="G326">
        <v>1.0464202999109501E-2</v>
      </c>
      <c r="H326">
        <v>62.136235325862998</v>
      </c>
      <c r="I326">
        <v>1.0060898515082699</v>
      </c>
      <c r="J326">
        <v>1</v>
      </c>
      <c r="K326">
        <v>11</v>
      </c>
      <c r="L326">
        <v>0.337395916366725</v>
      </c>
      <c r="M326" t="s">
        <v>101</v>
      </c>
    </row>
    <row r="327" spans="1:13" x14ac:dyDescent="0.2">
      <c r="A327" t="s">
        <v>58</v>
      </c>
      <c r="B327">
        <v>7.48564324954047E-3</v>
      </c>
      <c r="C327">
        <v>1.5982364403289699E-2</v>
      </c>
      <c r="D327">
        <v>3.9235891421787503E-2</v>
      </c>
      <c r="E327">
        <v>0.40734041776898999</v>
      </c>
      <c r="F327">
        <v>1.0642740957886601</v>
      </c>
      <c r="G327">
        <v>4.2655284761744003E-2</v>
      </c>
      <c r="H327">
        <v>24.950580021520899</v>
      </c>
      <c r="I327">
        <v>0.16592621594822499</v>
      </c>
      <c r="J327">
        <v>1</v>
      </c>
      <c r="K327">
        <v>22</v>
      </c>
      <c r="L327">
        <v>0.68769436114577998</v>
      </c>
      <c r="M327" t="s">
        <v>102</v>
      </c>
    </row>
    <row r="328" spans="1:13" x14ac:dyDescent="0.2">
      <c r="A328" t="s">
        <v>58</v>
      </c>
      <c r="B328">
        <v>2.9358311916428001E-2</v>
      </c>
      <c r="C328">
        <v>-1.1628857052155699E-2</v>
      </c>
      <c r="D328">
        <v>9.0161186237203306E-3</v>
      </c>
      <c r="E328">
        <v>-1.2897852765115101</v>
      </c>
      <c r="F328">
        <v>0.490629967250715</v>
      </c>
      <c r="G328">
        <v>1.32669237918138E-2</v>
      </c>
      <c r="H328">
        <v>36.981441587344797</v>
      </c>
      <c r="I328">
        <v>1.66354605950586</v>
      </c>
      <c r="J328">
        <v>1</v>
      </c>
      <c r="K328">
        <v>55</v>
      </c>
      <c r="L328">
        <v>0.202522376147967</v>
      </c>
      <c r="M328" t="s">
        <v>103</v>
      </c>
    </row>
    <row r="329" spans="1:13" x14ac:dyDescent="0.2">
      <c r="A329" t="s">
        <v>58</v>
      </c>
      <c r="B329">
        <v>1.3445164537569E-2</v>
      </c>
      <c r="C329">
        <v>-4.3500674461325198E-3</v>
      </c>
      <c r="D329">
        <v>6.21043891237628E-3</v>
      </c>
      <c r="E329">
        <v>-0.700444446440593</v>
      </c>
      <c r="F329">
        <v>0.40591098831289302</v>
      </c>
      <c r="G329">
        <v>7.7878597559119002E-3</v>
      </c>
      <c r="H329">
        <v>52.1209935765418</v>
      </c>
      <c r="I329">
        <v>0.49062242254948302</v>
      </c>
      <c r="J329">
        <v>1</v>
      </c>
      <c r="K329">
        <v>36</v>
      </c>
      <c r="L329">
        <v>0.48815230500113399</v>
      </c>
      <c r="M329" t="s">
        <v>104</v>
      </c>
    </row>
    <row r="330" spans="1:13" x14ac:dyDescent="0.2">
      <c r="A330" t="s">
        <v>58</v>
      </c>
      <c r="B330">
        <v>1.28724541839134E-2</v>
      </c>
      <c r="C330">
        <v>-5.4529947020298796E-3</v>
      </c>
      <c r="D330">
        <v>8.0715513072688802E-3</v>
      </c>
      <c r="E330">
        <v>-0.67558199092647198</v>
      </c>
      <c r="F330">
        <v>0.49184261715789701</v>
      </c>
      <c r="G330">
        <v>1.01125291861539E-2</v>
      </c>
      <c r="H330">
        <v>48.636954030385198</v>
      </c>
      <c r="I330">
        <v>0.45641102646416098</v>
      </c>
      <c r="J330">
        <v>1</v>
      </c>
      <c r="K330">
        <v>35</v>
      </c>
      <c r="L330">
        <v>0.50374555955730804</v>
      </c>
      <c r="M330" t="s">
        <v>105</v>
      </c>
    </row>
    <row r="331" spans="1:13" x14ac:dyDescent="0.2">
      <c r="A331" t="s">
        <v>59</v>
      </c>
      <c r="B331">
        <v>0.19787939230278201</v>
      </c>
      <c r="C331">
        <v>8.2688940675930394E-3</v>
      </c>
      <c r="D331">
        <v>6.2924237464887104E-3</v>
      </c>
      <c r="E331">
        <v>1.3141031819745499</v>
      </c>
      <c r="F331">
        <v>0.29882782388179402</v>
      </c>
      <c r="G331">
        <v>5.1375759150942496E-3</v>
      </c>
      <c r="H331">
        <v>58.165140295802701</v>
      </c>
      <c r="I331">
        <v>1.7268671728757501</v>
      </c>
      <c r="J331">
        <v>1</v>
      </c>
      <c r="K331">
        <v>7</v>
      </c>
      <c r="L331">
        <v>0.230234234617782</v>
      </c>
      <c r="M331" t="s">
        <v>76</v>
      </c>
    </row>
    <row r="332" spans="1:13" x14ac:dyDescent="0.2">
      <c r="A332" t="s">
        <v>59</v>
      </c>
      <c r="B332">
        <v>0.103451759319705</v>
      </c>
      <c r="C332">
        <v>6.5686792631481694E-2</v>
      </c>
      <c r="D332">
        <v>3.7923575229562599E-2</v>
      </c>
      <c r="E332">
        <v>1.7320833342811199</v>
      </c>
      <c r="F332">
        <v>0.69440002412296997</v>
      </c>
      <c r="G332">
        <v>4.1414072167956298E-2</v>
      </c>
      <c r="H332">
        <v>16.767248130220199</v>
      </c>
      <c r="I332">
        <v>3.0001126768944002</v>
      </c>
      <c r="J332">
        <v>1</v>
      </c>
      <c r="K332">
        <v>26</v>
      </c>
      <c r="L332">
        <v>9.51084001157219E-2</v>
      </c>
      <c r="M332" t="s">
        <v>78</v>
      </c>
    </row>
    <row r="333" spans="1:13" x14ac:dyDescent="0.2">
      <c r="A333" t="s">
        <v>59</v>
      </c>
      <c r="B333">
        <v>1.73254466893936E-3</v>
      </c>
      <c r="C333">
        <v>-1.15836991605489E-3</v>
      </c>
      <c r="D333">
        <v>9.2684529876714203E-3</v>
      </c>
      <c r="E333">
        <v>-0.124979855602193</v>
      </c>
      <c r="F333">
        <v>0.63611403283916601</v>
      </c>
      <c r="G333">
        <v>7.3668322279577102E-3</v>
      </c>
      <c r="H333">
        <v>86.348380573275904</v>
      </c>
      <c r="I333">
        <v>1.5619964306342301E-2</v>
      </c>
      <c r="J333">
        <v>1</v>
      </c>
      <c r="K333">
        <v>9</v>
      </c>
      <c r="L333">
        <v>0.90328659316295101</v>
      </c>
      <c r="M333" t="s">
        <v>101</v>
      </c>
    </row>
    <row r="334" spans="1:13" x14ac:dyDescent="0.2">
      <c r="A334" t="s">
        <v>59</v>
      </c>
      <c r="B334">
        <v>3.0097881123446801E-2</v>
      </c>
      <c r="C334">
        <v>2.0864260351108901E-2</v>
      </c>
      <c r="D334">
        <v>2.5251526999842899E-2</v>
      </c>
      <c r="E334">
        <v>0.826257372523996</v>
      </c>
      <c r="F334">
        <v>1.0624275247872399</v>
      </c>
      <c r="G334">
        <v>2.6514650966034399E-2</v>
      </c>
      <c r="H334">
        <v>40.0694516457419</v>
      </c>
      <c r="I334">
        <v>0.68270124565023904</v>
      </c>
      <c r="J334">
        <v>1</v>
      </c>
      <c r="K334">
        <v>22</v>
      </c>
      <c r="L334">
        <v>0.41752931388738701</v>
      </c>
      <c r="M334" t="s">
        <v>102</v>
      </c>
    </row>
    <row r="335" spans="1:13" x14ac:dyDescent="0.2">
      <c r="A335" t="s">
        <v>59</v>
      </c>
      <c r="B335">
        <v>5.6911061014157001E-2</v>
      </c>
      <c r="C335">
        <v>-1.8373909693223601E-2</v>
      </c>
      <c r="D335">
        <v>9.9950632892988195E-3</v>
      </c>
      <c r="E335">
        <v>-1.8382984841022001</v>
      </c>
      <c r="F335">
        <v>0.50785180459210499</v>
      </c>
      <c r="G335">
        <v>1.4746225260920001E-2</v>
      </c>
      <c r="H335">
        <v>34.439444373469399</v>
      </c>
      <c r="I335">
        <v>3.37934131665246</v>
      </c>
      <c r="J335">
        <v>1</v>
      </c>
      <c r="K335">
        <v>56</v>
      </c>
      <c r="L335">
        <v>7.1324178719528897E-2</v>
      </c>
      <c r="M335" t="s">
        <v>103</v>
      </c>
    </row>
    <row r="336" spans="1:13" x14ac:dyDescent="0.2">
      <c r="A336" t="s">
        <v>59</v>
      </c>
      <c r="B336">
        <v>0.115444584863231</v>
      </c>
      <c r="C336">
        <v>-1.5822570301646299E-2</v>
      </c>
      <c r="D336">
        <v>7.4031875429614296E-3</v>
      </c>
      <c r="E336">
        <v>-2.1372645512255901</v>
      </c>
      <c r="F336">
        <v>0.42362192420987899</v>
      </c>
      <c r="G336">
        <v>9.2594310419540707E-3</v>
      </c>
      <c r="H336">
        <v>45.750319030452999</v>
      </c>
      <c r="I336">
        <v>4.56789976192543</v>
      </c>
      <c r="J336">
        <v>1</v>
      </c>
      <c r="K336">
        <v>35</v>
      </c>
      <c r="L336">
        <v>3.9640874131826001E-2</v>
      </c>
      <c r="M336" t="s">
        <v>104</v>
      </c>
    </row>
    <row r="337" spans="1:13" x14ac:dyDescent="0.2">
      <c r="A337" t="s">
        <v>59</v>
      </c>
      <c r="B337" s="1">
        <v>7.1391281645405397E-5</v>
      </c>
      <c r="C337">
        <v>-3.9844503395925602E-4</v>
      </c>
      <c r="D337">
        <v>8.0870637661683703E-3</v>
      </c>
      <c r="E337">
        <v>-4.9269431462395701E-2</v>
      </c>
      <c r="F337">
        <v>0.48727924432229802</v>
      </c>
      <c r="G337">
        <v>1.00956822566122E-2</v>
      </c>
      <c r="H337">
        <v>48.266103462512802</v>
      </c>
      <c r="I337">
        <v>2.4274768766291699E-3</v>
      </c>
      <c r="J337">
        <v>1</v>
      </c>
      <c r="K337">
        <v>34</v>
      </c>
      <c r="L337">
        <v>0.96099287967601899</v>
      </c>
      <c r="M337" t="s">
        <v>105</v>
      </c>
    </row>
    <row r="338" spans="1:13" x14ac:dyDescent="0.2">
      <c r="A338" t="s">
        <v>60</v>
      </c>
      <c r="B338">
        <v>0.13541760695916999</v>
      </c>
      <c r="C338">
        <v>8.8595349200092897E-3</v>
      </c>
      <c r="D338">
        <v>5.7800410234180996E-3</v>
      </c>
      <c r="E338">
        <v>1.53278062977658</v>
      </c>
      <c r="F338">
        <v>0.29922346402880901</v>
      </c>
      <c r="G338">
        <v>5.5721477339239203E-3</v>
      </c>
      <c r="H338">
        <v>53.6998439950003</v>
      </c>
      <c r="I338">
        <v>2.3494164590183</v>
      </c>
      <c r="J338">
        <v>1</v>
      </c>
      <c r="K338">
        <v>15</v>
      </c>
      <c r="L338">
        <v>0.14614757890623001</v>
      </c>
      <c r="M338" t="s">
        <v>76</v>
      </c>
    </row>
    <row r="339" spans="1:13" x14ac:dyDescent="0.2">
      <c r="A339" t="s">
        <v>60</v>
      </c>
      <c r="B339">
        <v>0.18128143659116699</v>
      </c>
      <c r="C339">
        <v>8.9092088833155406E-2</v>
      </c>
      <c r="D339">
        <v>3.2470601563300498E-2</v>
      </c>
      <c r="E339">
        <v>2.7437769719009601</v>
      </c>
      <c r="F339">
        <v>0.66060288200176498</v>
      </c>
      <c r="G339">
        <v>3.95795521295884E-2</v>
      </c>
      <c r="H339">
        <v>16.690509277084999</v>
      </c>
      <c r="I339">
        <v>7.52831207153399</v>
      </c>
      <c r="J339">
        <v>1</v>
      </c>
      <c r="K339">
        <v>34</v>
      </c>
      <c r="L339">
        <v>9.6255696228976506E-3</v>
      </c>
      <c r="M339" t="s">
        <v>78</v>
      </c>
    </row>
    <row r="340" spans="1:13" x14ac:dyDescent="0.2">
      <c r="A340" t="s">
        <v>60</v>
      </c>
      <c r="B340">
        <v>0.17084883303975901</v>
      </c>
      <c r="C340">
        <v>3.0981482534648799E-2</v>
      </c>
      <c r="D340">
        <v>1.8929597058292998E-2</v>
      </c>
      <c r="E340">
        <v>1.63666888625481</v>
      </c>
      <c r="F340">
        <v>0.62138191374999696</v>
      </c>
      <c r="G340">
        <v>1.71214246957151E-2</v>
      </c>
      <c r="H340">
        <v>36.2926523226485</v>
      </c>
      <c r="I340">
        <v>2.6786850432345402</v>
      </c>
      <c r="J340">
        <v>1</v>
      </c>
      <c r="K340">
        <v>13</v>
      </c>
      <c r="L340">
        <v>0.125666721826004</v>
      </c>
      <c r="M340" t="s">
        <v>101</v>
      </c>
    </row>
    <row r="341" spans="1:13" x14ac:dyDescent="0.2">
      <c r="A341" t="s">
        <v>60</v>
      </c>
      <c r="B341">
        <v>8.0736939047152095E-2</v>
      </c>
      <c r="C341">
        <v>3.82791459094146E-2</v>
      </c>
      <c r="D341">
        <v>2.3582257448984598E-2</v>
      </c>
      <c r="E341">
        <v>1.62321804823918</v>
      </c>
      <c r="F341">
        <v>1.0500877434995599</v>
      </c>
      <c r="G341">
        <v>2.8684119563016999E-2</v>
      </c>
      <c r="H341">
        <v>36.6086796282028</v>
      </c>
      <c r="I341">
        <v>2.63483683212938</v>
      </c>
      <c r="J341">
        <v>1</v>
      </c>
      <c r="K341">
        <v>30</v>
      </c>
      <c r="L341">
        <v>0.115005874693027</v>
      </c>
      <c r="M341" t="s">
        <v>102</v>
      </c>
    </row>
    <row r="342" spans="1:13" x14ac:dyDescent="0.2">
      <c r="A342" t="s">
        <v>60</v>
      </c>
      <c r="B342">
        <v>3.2912107282032798E-4</v>
      </c>
      <c r="C342">
        <v>2.1099923177054299E-3</v>
      </c>
      <c r="D342">
        <v>1.3704566461506701E-2</v>
      </c>
      <c r="E342">
        <v>0.15396271918794099</v>
      </c>
      <c r="F342">
        <v>0.48869034913082099</v>
      </c>
      <c r="G342">
        <v>2.1086535134494301E-2</v>
      </c>
      <c r="H342">
        <v>23.175469370091001</v>
      </c>
      <c r="I342">
        <v>2.3704518899754601E-2</v>
      </c>
      <c r="J342">
        <v>1</v>
      </c>
      <c r="K342">
        <v>72</v>
      </c>
      <c r="L342">
        <v>0.87806986597103298</v>
      </c>
      <c r="M342" t="s">
        <v>103</v>
      </c>
    </row>
    <row r="343" spans="1:13" x14ac:dyDescent="0.2">
      <c r="A343" t="s">
        <v>60</v>
      </c>
      <c r="B343">
        <v>0.13906104138838599</v>
      </c>
      <c r="C343">
        <v>-1.7290609869635199E-2</v>
      </c>
      <c r="D343">
        <v>6.6384869874684003E-3</v>
      </c>
      <c r="E343">
        <v>-2.6046010035532201</v>
      </c>
      <c r="F343">
        <v>0.426279244206059</v>
      </c>
      <c r="G343">
        <v>8.6867648878132097E-3</v>
      </c>
      <c r="H343">
        <v>49.0722668002782</v>
      </c>
      <c r="I343">
        <v>6.78394638771017</v>
      </c>
      <c r="J343">
        <v>1</v>
      </c>
      <c r="K343">
        <v>42</v>
      </c>
      <c r="L343">
        <v>1.2665454986749499E-2</v>
      </c>
      <c r="M343" t="s">
        <v>104</v>
      </c>
    </row>
    <row r="344" spans="1:13" x14ac:dyDescent="0.2">
      <c r="A344" t="s">
        <v>60</v>
      </c>
      <c r="B344">
        <v>0.134425575122046</v>
      </c>
      <c r="C344">
        <v>-1.7712125675538599E-2</v>
      </c>
      <c r="D344">
        <v>6.8540570280911104E-3</v>
      </c>
      <c r="E344">
        <v>-2.58418125249703</v>
      </c>
      <c r="F344">
        <v>0.51060839243376299</v>
      </c>
      <c r="G344">
        <v>8.9847657409008897E-3</v>
      </c>
      <c r="H344">
        <v>56.830462491564603</v>
      </c>
      <c r="I344">
        <v>6.6779927457572699</v>
      </c>
      <c r="J344">
        <v>1</v>
      </c>
      <c r="K344">
        <v>43</v>
      </c>
      <c r="L344">
        <v>1.32406149962089E-2</v>
      </c>
      <c r="M344" t="s">
        <v>105</v>
      </c>
    </row>
    <row r="345" spans="1:13" x14ac:dyDescent="0.2">
      <c r="A345" t="s">
        <v>61</v>
      </c>
      <c r="B345">
        <v>2.2769952030125998E-2</v>
      </c>
      <c r="C345">
        <v>2.29502791465124E-3</v>
      </c>
      <c r="D345">
        <v>5.0116884551575898E-3</v>
      </c>
      <c r="E345">
        <v>0.457935072218905</v>
      </c>
      <c r="F345">
        <v>0.30348277802405499</v>
      </c>
      <c r="G345">
        <v>4.5874547593259098E-3</v>
      </c>
      <c r="H345">
        <v>66.154936439885304</v>
      </c>
      <c r="I345">
        <v>0.20970453036811601</v>
      </c>
      <c r="J345">
        <v>1</v>
      </c>
      <c r="K345">
        <v>9</v>
      </c>
      <c r="L345">
        <v>0.65785452608020201</v>
      </c>
      <c r="M345" t="s">
        <v>76</v>
      </c>
    </row>
    <row r="346" spans="1:13" x14ac:dyDescent="0.2">
      <c r="A346" t="s">
        <v>61</v>
      </c>
      <c r="B346">
        <v>2.3374421302514901E-2</v>
      </c>
      <c r="C346">
        <v>2.4947252471851498E-2</v>
      </c>
      <c r="D346">
        <v>3.1033764038713201E-2</v>
      </c>
      <c r="E346">
        <v>0.80387452971321705</v>
      </c>
      <c r="F346">
        <v>0.74620835442297895</v>
      </c>
      <c r="G346">
        <v>3.4565724197442499E-2</v>
      </c>
      <c r="H346">
        <v>21.588101269354901</v>
      </c>
      <c r="I346">
        <v>0.64621425952165401</v>
      </c>
      <c r="J346">
        <v>1</v>
      </c>
      <c r="K346">
        <v>27</v>
      </c>
      <c r="L346">
        <v>0.42849062009605099</v>
      </c>
      <c r="M346" t="s">
        <v>78</v>
      </c>
    </row>
    <row r="347" spans="1:13" x14ac:dyDescent="0.2">
      <c r="A347" t="s">
        <v>61</v>
      </c>
      <c r="B347">
        <v>8.9135724331709895E-2</v>
      </c>
      <c r="C347">
        <v>-9.1826572884561395E-3</v>
      </c>
      <c r="D347">
        <v>9.2825930573648407E-3</v>
      </c>
      <c r="E347">
        <v>-0.98923406764778898</v>
      </c>
      <c r="F347">
        <v>0.64384482290952205</v>
      </c>
      <c r="G347">
        <v>7.6465267169687004E-3</v>
      </c>
      <c r="H347">
        <v>84.200951195363203</v>
      </c>
      <c r="I347">
        <v>0.97858404059498405</v>
      </c>
      <c r="J347">
        <v>1</v>
      </c>
      <c r="K347">
        <v>10</v>
      </c>
      <c r="L347">
        <v>0.34587997258312497</v>
      </c>
      <c r="M347" t="s">
        <v>101</v>
      </c>
    </row>
    <row r="348" spans="1:13" x14ac:dyDescent="0.2">
      <c r="A348" t="s">
        <v>61</v>
      </c>
      <c r="B348">
        <v>3.5532757535218E-2</v>
      </c>
      <c r="C348">
        <v>2.58519261880772E-2</v>
      </c>
      <c r="D348">
        <v>2.74926479616041E-2</v>
      </c>
      <c r="E348">
        <v>0.94032143517720501</v>
      </c>
      <c r="F348">
        <v>1.0639170056905001</v>
      </c>
      <c r="G348">
        <v>2.8900669120923098E-2</v>
      </c>
      <c r="H348">
        <v>36.812884893390198</v>
      </c>
      <c r="I348">
        <v>0.88420440145365697</v>
      </c>
      <c r="J348">
        <v>1</v>
      </c>
      <c r="K348">
        <v>24</v>
      </c>
      <c r="L348">
        <v>0.35642142286148099</v>
      </c>
      <c r="M348" t="s">
        <v>102</v>
      </c>
    </row>
    <row r="349" spans="1:13" x14ac:dyDescent="0.2">
      <c r="A349" t="s">
        <v>61</v>
      </c>
      <c r="B349">
        <v>0.16175825965926399</v>
      </c>
      <c r="C349">
        <v>-2.7062207172174901E-2</v>
      </c>
      <c r="D349">
        <v>8.1597564283577995E-3</v>
      </c>
      <c r="E349">
        <v>-3.3165459544999298</v>
      </c>
      <c r="F349">
        <v>0.51681783671777404</v>
      </c>
      <c r="G349">
        <v>1.1948460350484901E-2</v>
      </c>
      <c r="H349">
        <v>43.253927414740197</v>
      </c>
      <c r="I349">
        <v>10.999477068309799</v>
      </c>
      <c r="J349">
        <v>1</v>
      </c>
      <c r="K349">
        <v>57</v>
      </c>
      <c r="L349">
        <v>1.5902155472377699E-3</v>
      </c>
      <c r="M349" t="s">
        <v>103</v>
      </c>
    </row>
    <row r="350" spans="1:13" x14ac:dyDescent="0.2">
      <c r="A350" t="s">
        <v>61</v>
      </c>
      <c r="B350">
        <v>5.0191712393760003E-2</v>
      </c>
      <c r="C350">
        <v>-7.7779875552616102E-3</v>
      </c>
      <c r="D350">
        <v>5.7191987973929399E-3</v>
      </c>
      <c r="E350">
        <v>-1.3599785268536499</v>
      </c>
      <c r="F350">
        <v>0.41442190350847002</v>
      </c>
      <c r="G350">
        <v>7.1505610051894901E-3</v>
      </c>
      <c r="H350">
        <v>57.956557983031701</v>
      </c>
      <c r="I350">
        <v>1.849541593503</v>
      </c>
      <c r="J350">
        <v>1</v>
      </c>
      <c r="K350">
        <v>35</v>
      </c>
      <c r="L350">
        <v>0.182533099817595</v>
      </c>
      <c r="M350" t="s">
        <v>104</v>
      </c>
    </row>
    <row r="351" spans="1:13" x14ac:dyDescent="0.2">
      <c r="A351" t="s">
        <v>61</v>
      </c>
      <c r="B351">
        <v>4.3080967381515997E-2</v>
      </c>
      <c r="C351">
        <v>9.6855133134981994E-3</v>
      </c>
      <c r="D351">
        <v>7.6079257412532703E-3</v>
      </c>
      <c r="E351">
        <v>1.27308199933911</v>
      </c>
      <c r="F351">
        <v>0.475118271537736</v>
      </c>
      <c r="G351">
        <v>9.5555762070274105E-3</v>
      </c>
      <c r="H351">
        <v>49.721572121241799</v>
      </c>
      <c r="I351">
        <v>1.6207377770412801</v>
      </c>
      <c r="J351">
        <v>1</v>
      </c>
      <c r="K351">
        <v>36</v>
      </c>
      <c r="L351">
        <v>0.211148906406737</v>
      </c>
      <c r="M351" t="s">
        <v>105</v>
      </c>
    </row>
    <row r="352" spans="1:13" x14ac:dyDescent="0.2">
      <c r="A352" t="s">
        <v>62</v>
      </c>
      <c r="B352">
        <v>0.24184609639690499</v>
      </c>
      <c r="C352">
        <v>7.2041748492366799E-3</v>
      </c>
      <c r="D352">
        <v>4.0336052314814399E-3</v>
      </c>
      <c r="E352">
        <v>1.7860386517276401</v>
      </c>
      <c r="F352">
        <v>0.30053903965866102</v>
      </c>
      <c r="G352">
        <v>3.35244945137322E-3</v>
      </c>
      <c r="H352">
        <v>89.647597679826404</v>
      </c>
      <c r="I352">
        <v>3.1899340654653598</v>
      </c>
      <c r="J352">
        <v>1</v>
      </c>
      <c r="K352">
        <v>10</v>
      </c>
      <c r="L352">
        <v>0.104397441810174</v>
      </c>
      <c r="M352" t="s">
        <v>76</v>
      </c>
    </row>
    <row r="353" spans="1:13" x14ac:dyDescent="0.2">
      <c r="A353" t="s">
        <v>62</v>
      </c>
      <c r="B353">
        <v>5.8386493907167401E-2</v>
      </c>
      <c r="C353">
        <v>-3.3139419352147599E-2</v>
      </c>
      <c r="D353">
        <v>2.9041255559568199E-2</v>
      </c>
      <c r="E353">
        <v>-1.1411152415285</v>
      </c>
      <c r="F353">
        <v>0.81864868517908396</v>
      </c>
      <c r="G353">
        <v>3.1157140736105801E-2</v>
      </c>
      <c r="H353">
        <v>26.2748335000589</v>
      </c>
      <c r="I353">
        <v>1.3021439944486499</v>
      </c>
      <c r="J353">
        <v>1</v>
      </c>
      <c r="K353">
        <v>21</v>
      </c>
      <c r="L353">
        <v>0.26666838136680299</v>
      </c>
      <c r="M353" t="s">
        <v>78</v>
      </c>
    </row>
    <row r="354" spans="1:13" x14ac:dyDescent="0.2">
      <c r="A354" t="s">
        <v>62</v>
      </c>
      <c r="B354">
        <v>8.2879625536475501E-2</v>
      </c>
      <c r="C354">
        <v>-1.3830962705525199E-2</v>
      </c>
      <c r="D354">
        <v>1.45492863349859E-2</v>
      </c>
      <c r="E354">
        <v>-0.95062825674594198</v>
      </c>
      <c r="F354">
        <v>0.65102829295081799</v>
      </c>
      <c r="G354">
        <v>1.22879091656053E-2</v>
      </c>
      <c r="H354">
        <v>52.981209754796403</v>
      </c>
      <c r="I354">
        <v>0.90369408252386096</v>
      </c>
      <c r="J354">
        <v>1</v>
      </c>
      <c r="K354">
        <v>10</v>
      </c>
      <c r="L354">
        <v>0.364202857092499</v>
      </c>
      <c r="M354" t="s">
        <v>101</v>
      </c>
    </row>
    <row r="355" spans="1:13" x14ac:dyDescent="0.2">
      <c r="A355" t="s">
        <v>62</v>
      </c>
      <c r="B355">
        <v>2.4156121448223499E-2</v>
      </c>
      <c r="C355">
        <v>-1.78068417408071E-2</v>
      </c>
      <c r="D355">
        <v>2.4697546990042601E-2</v>
      </c>
      <c r="E355">
        <v>-0.72099637052968402</v>
      </c>
      <c r="F355">
        <v>1.1000337090213099</v>
      </c>
      <c r="G355">
        <v>2.7317124798401302E-2</v>
      </c>
      <c r="H355">
        <v>40.269015027734198</v>
      </c>
      <c r="I355">
        <v>0.51983576631697603</v>
      </c>
      <c r="J355">
        <v>1</v>
      </c>
      <c r="K355">
        <v>21</v>
      </c>
      <c r="L355">
        <v>0.47886218873185099</v>
      </c>
      <c r="M355" t="s">
        <v>102</v>
      </c>
    </row>
    <row r="356" spans="1:13" x14ac:dyDescent="0.2">
      <c r="A356" t="s">
        <v>62</v>
      </c>
      <c r="B356">
        <v>0.16870952854826299</v>
      </c>
      <c r="C356">
        <v>-3.1715316445548203E-2</v>
      </c>
      <c r="D356">
        <v>9.5802924013928606E-3</v>
      </c>
      <c r="E356">
        <v>-3.3104747868590301</v>
      </c>
      <c r="F356">
        <v>0.51965893904320104</v>
      </c>
      <c r="G356">
        <v>1.37893315437994E-2</v>
      </c>
      <c r="H356">
        <v>37.685578694847798</v>
      </c>
      <c r="I356">
        <v>10.959243314429299</v>
      </c>
      <c r="J356">
        <v>1</v>
      </c>
      <c r="K356">
        <v>54</v>
      </c>
      <c r="L356">
        <v>1.66417109376988E-3</v>
      </c>
      <c r="M356" t="s">
        <v>103</v>
      </c>
    </row>
    <row r="357" spans="1:13" x14ac:dyDescent="0.2">
      <c r="A357" t="s">
        <v>62</v>
      </c>
      <c r="B357">
        <v>2.9701579791456299E-2</v>
      </c>
      <c r="C357">
        <v>6.88319437696329E-3</v>
      </c>
      <c r="D357">
        <v>6.8485077468327599E-3</v>
      </c>
      <c r="E357">
        <v>1.00506484498708</v>
      </c>
      <c r="F357">
        <v>0.39392176214411001</v>
      </c>
      <c r="G357">
        <v>8.3645152980783705E-3</v>
      </c>
      <c r="H357">
        <v>47.094391976855903</v>
      </c>
      <c r="I357">
        <v>1.01015534262892</v>
      </c>
      <c r="J357">
        <v>1</v>
      </c>
      <c r="K357">
        <v>33</v>
      </c>
      <c r="L357">
        <v>0.32217882572852002</v>
      </c>
      <c r="M357" t="s">
        <v>104</v>
      </c>
    </row>
    <row r="358" spans="1:13" x14ac:dyDescent="0.2">
      <c r="A358" t="s">
        <v>62</v>
      </c>
      <c r="B358">
        <v>3.80730625993278E-3</v>
      </c>
      <c r="C358">
        <v>-2.3095640690198602E-3</v>
      </c>
      <c r="D358">
        <v>6.7098364905882699E-3</v>
      </c>
      <c r="E358">
        <v>-0.34420571533441002</v>
      </c>
      <c r="F358">
        <v>0.486842186217671</v>
      </c>
      <c r="G358">
        <v>8.1211276630794998E-3</v>
      </c>
      <c r="H358">
        <v>59.947609053231197</v>
      </c>
      <c r="I358">
        <v>0.118477574468853</v>
      </c>
      <c r="J358">
        <v>1</v>
      </c>
      <c r="K358">
        <v>31</v>
      </c>
      <c r="L358">
        <v>0.73301563222392896</v>
      </c>
      <c r="M358" t="s">
        <v>105</v>
      </c>
    </row>
    <row r="359" spans="1:13" x14ac:dyDescent="0.2">
      <c r="A359" t="s">
        <v>63</v>
      </c>
      <c r="B359">
        <v>0.28983625803170399</v>
      </c>
      <c r="C359">
        <v>4.82570720279987E-3</v>
      </c>
      <c r="D359">
        <v>2.01883042200076E-3</v>
      </c>
      <c r="E359">
        <v>2.39034797088968</v>
      </c>
      <c r="F359">
        <v>0.30095776207223701</v>
      </c>
      <c r="G359">
        <v>1.8420290796689501E-3</v>
      </c>
      <c r="H359">
        <v>163.383827863524</v>
      </c>
      <c r="I359">
        <v>5.7137634219363003</v>
      </c>
      <c r="J359">
        <v>1</v>
      </c>
      <c r="K359">
        <v>14</v>
      </c>
      <c r="L359">
        <v>3.1444620647264901E-2</v>
      </c>
      <c r="M359" t="s">
        <v>76</v>
      </c>
    </row>
    <row r="360" spans="1:13" x14ac:dyDescent="0.2">
      <c r="A360" t="s">
        <v>63</v>
      </c>
      <c r="B360">
        <v>7.2500114723132197E-2</v>
      </c>
      <c r="C360">
        <v>4.43605026456542E-2</v>
      </c>
      <c r="D360">
        <v>2.7211005200664402E-2</v>
      </c>
      <c r="E360">
        <v>1.6302412321236499</v>
      </c>
      <c r="F360">
        <v>0.72533970510352797</v>
      </c>
      <c r="G360">
        <v>3.2630738064604099E-2</v>
      </c>
      <c r="H360">
        <v>22.228725064920699</v>
      </c>
      <c r="I360">
        <v>2.6576864749160198</v>
      </c>
      <c r="J360">
        <v>1</v>
      </c>
      <c r="K360">
        <v>34</v>
      </c>
      <c r="L360">
        <v>0.112281358925948</v>
      </c>
      <c r="M360" t="s">
        <v>78</v>
      </c>
    </row>
    <row r="361" spans="1:13" x14ac:dyDescent="0.2">
      <c r="A361" t="s">
        <v>63</v>
      </c>
      <c r="B361">
        <v>5.7162326302435699E-3</v>
      </c>
      <c r="C361">
        <v>-2.5173926722104902E-3</v>
      </c>
      <c r="D361">
        <v>1.04990786945718E-2</v>
      </c>
      <c r="E361">
        <v>-0.23977272153527401</v>
      </c>
      <c r="F361">
        <v>0.64096692241090703</v>
      </c>
      <c r="G361">
        <v>8.6473314564890005E-3</v>
      </c>
      <c r="H361">
        <v>74.123089375731197</v>
      </c>
      <c r="I361">
        <v>5.7490957992456099E-2</v>
      </c>
      <c r="J361">
        <v>1</v>
      </c>
      <c r="K361">
        <v>10</v>
      </c>
      <c r="L361">
        <v>0.815349738089717</v>
      </c>
      <c r="M361" t="s">
        <v>101</v>
      </c>
    </row>
    <row r="362" spans="1:13" x14ac:dyDescent="0.2">
      <c r="A362" t="s">
        <v>63</v>
      </c>
      <c r="B362">
        <v>5.4163989762290803E-2</v>
      </c>
      <c r="C362">
        <v>2.9271768837823599E-2</v>
      </c>
      <c r="D362">
        <v>2.49687007644997E-2</v>
      </c>
      <c r="E362">
        <v>1.1723384854466301</v>
      </c>
      <c r="F362">
        <v>1.0569441367405199</v>
      </c>
      <c r="G362">
        <v>2.75015883936169E-2</v>
      </c>
      <c r="H362">
        <v>38.432112415217098</v>
      </c>
      <c r="I362">
        <v>1.3743775244593199</v>
      </c>
      <c r="J362">
        <v>1</v>
      </c>
      <c r="K362">
        <v>24</v>
      </c>
      <c r="L362">
        <v>0.25256713548390902</v>
      </c>
      <c r="M362" t="s">
        <v>102</v>
      </c>
    </row>
    <row r="363" spans="1:13" x14ac:dyDescent="0.2">
      <c r="A363" t="s">
        <v>63</v>
      </c>
      <c r="B363">
        <v>0.15099439603495901</v>
      </c>
      <c r="C363">
        <v>-2.81501504388087E-2</v>
      </c>
      <c r="D363">
        <v>8.2794007732567999E-3</v>
      </c>
      <c r="E363">
        <v>-3.4000226839768599</v>
      </c>
      <c r="F363">
        <v>0.51346791005894998</v>
      </c>
      <c r="G363">
        <v>1.25507179306487E-2</v>
      </c>
      <c r="H363">
        <v>40.911437329418902</v>
      </c>
      <c r="I363">
        <v>11.560154251557201</v>
      </c>
      <c r="J363">
        <v>1</v>
      </c>
      <c r="K363">
        <v>65</v>
      </c>
      <c r="L363">
        <v>1.15598380268596E-3</v>
      </c>
      <c r="M363" t="s">
        <v>103</v>
      </c>
    </row>
    <row r="364" spans="1:13" x14ac:dyDescent="0.2">
      <c r="A364" t="s">
        <v>63</v>
      </c>
      <c r="B364">
        <v>2.1507408533792101E-3</v>
      </c>
      <c r="C364">
        <v>2.1526528712687101E-3</v>
      </c>
      <c r="D364">
        <v>7.3313243594964397E-3</v>
      </c>
      <c r="E364">
        <v>0.29362401193998899</v>
      </c>
      <c r="F364">
        <v>0.40028936400166198</v>
      </c>
      <c r="G364">
        <v>9.4957724858929105E-3</v>
      </c>
      <c r="H364">
        <v>42.154481333281602</v>
      </c>
      <c r="I364">
        <v>8.6215060387720699E-2</v>
      </c>
      <c r="J364">
        <v>1</v>
      </c>
      <c r="K364">
        <v>40</v>
      </c>
      <c r="L364">
        <v>0.77056337437289102</v>
      </c>
      <c r="M364" t="s">
        <v>104</v>
      </c>
    </row>
    <row r="365" spans="1:13" x14ac:dyDescent="0.2">
      <c r="A365" t="s">
        <v>63</v>
      </c>
      <c r="B365">
        <v>2.5454158720931998E-3</v>
      </c>
      <c r="C365">
        <v>1.50730843127529E-3</v>
      </c>
      <c r="D365">
        <v>4.8403584191079102E-3</v>
      </c>
      <c r="E365">
        <v>0.31140430124451102</v>
      </c>
      <c r="F365">
        <v>0.48097348461179501</v>
      </c>
      <c r="G365">
        <v>6.1665196074763302E-3</v>
      </c>
      <c r="H365">
        <v>77.997560249165403</v>
      </c>
      <c r="I365">
        <v>9.6972638833587393E-2</v>
      </c>
      <c r="J365">
        <v>1</v>
      </c>
      <c r="K365">
        <v>38</v>
      </c>
      <c r="L365">
        <v>0.75719533848141296</v>
      </c>
      <c r="M365" t="s">
        <v>105</v>
      </c>
    </row>
    <row r="366" spans="1:13" x14ac:dyDescent="0.2">
      <c r="A366" t="s">
        <v>64</v>
      </c>
      <c r="B366">
        <v>0.37321579213612899</v>
      </c>
      <c r="C366">
        <v>1.5145859872537601E-2</v>
      </c>
      <c r="D366">
        <v>5.4437888924421503E-3</v>
      </c>
      <c r="E366">
        <v>2.78222763075278</v>
      </c>
      <c r="F366">
        <v>0.29470887422726699</v>
      </c>
      <c r="G366">
        <v>4.8882239755597299E-3</v>
      </c>
      <c r="H366">
        <v>60.2895603189952</v>
      </c>
      <c r="I366">
        <v>7.74079058932419</v>
      </c>
      <c r="J366">
        <v>1</v>
      </c>
      <c r="K366">
        <v>13</v>
      </c>
      <c r="L366">
        <v>1.5549642560072199E-2</v>
      </c>
      <c r="M366" t="s">
        <v>76</v>
      </c>
    </row>
    <row r="367" spans="1:13" x14ac:dyDescent="0.2">
      <c r="A367" t="s">
        <v>64</v>
      </c>
      <c r="B367">
        <v>0.31313673177381701</v>
      </c>
      <c r="C367">
        <v>9.2415487556084003E-2</v>
      </c>
      <c r="D367">
        <v>2.3473261624326398E-2</v>
      </c>
      <c r="E367">
        <v>3.9370535307419501</v>
      </c>
      <c r="F367">
        <v>0.66966930384947898</v>
      </c>
      <c r="G367">
        <v>2.9126288834978E-2</v>
      </c>
      <c r="H367">
        <v>22.991920036351001</v>
      </c>
      <c r="I367">
        <v>15.5003905039276</v>
      </c>
      <c r="J367">
        <v>1</v>
      </c>
      <c r="K367">
        <v>34</v>
      </c>
      <c r="L367">
        <v>3.87704572766116E-4</v>
      </c>
      <c r="M367" t="s">
        <v>78</v>
      </c>
    </row>
    <row r="368" spans="1:13" x14ac:dyDescent="0.2">
      <c r="A368" t="s">
        <v>64</v>
      </c>
      <c r="B368">
        <v>7.2668057946616196E-2</v>
      </c>
      <c r="C368">
        <v>1.25748742067168E-2</v>
      </c>
      <c r="D368">
        <v>1.2005644082802599E-2</v>
      </c>
      <c r="E368">
        <v>1.04741354316255</v>
      </c>
      <c r="F368">
        <v>0.63497475456430297</v>
      </c>
      <c r="G368">
        <v>1.10817296052846E-2</v>
      </c>
      <c r="H368">
        <v>57.2992463434135</v>
      </c>
      <c r="I368">
        <v>1.0970751304003501</v>
      </c>
      <c r="J368">
        <v>1</v>
      </c>
      <c r="K368">
        <v>14</v>
      </c>
      <c r="L368">
        <v>0.312655957642474</v>
      </c>
      <c r="M368" t="s">
        <v>101</v>
      </c>
    </row>
    <row r="369" spans="1:13" x14ac:dyDescent="0.2">
      <c r="A369" t="s">
        <v>64</v>
      </c>
      <c r="B369">
        <v>1.41611451743427E-2</v>
      </c>
      <c r="C369">
        <v>1.6960574931855599E-2</v>
      </c>
      <c r="D369">
        <v>2.4634138452802299E-2</v>
      </c>
      <c r="E369">
        <v>0.68849880682253894</v>
      </c>
      <c r="F369">
        <v>1.0765727737305599</v>
      </c>
      <c r="G369">
        <v>3.14220091204312E-2</v>
      </c>
      <c r="H369">
        <v>34.261742131268001</v>
      </c>
      <c r="I369">
        <v>0.47403060699606198</v>
      </c>
      <c r="J369">
        <v>1</v>
      </c>
      <c r="K369">
        <v>33</v>
      </c>
      <c r="L369">
        <v>0.49595077912439001</v>
      </c>
      <c r="M369" t="s">
        <v>102</v>
      </c>
    </row>
    <row r="370" spans="1:13" x14ac:dyDescent="0.2">
      <c r="A370" t="s">
        <v>64</v>
      </c>
      <c r="B370">
        <v>7.5697776603151301E-2</v>
      </c>
      <c r="C370">
        <v>-3.6813467015795097E-2</v>
      </c>
      <c r="D370">
        <v>1.5715737133394601E-2</v>
      </c>
      <c r="E370">
        <v>-2.3424588171285698</v>
      </c>
      <c r="F370">
        <v>0.55285405422879497</v>
      </c>
      <c r="G370">
        <v>2.3686997922562101E-2</v>
      </c>
      <c r="H370">
        <v>23.339979850388598</v>
      </c>
      <c r="I370">
        <v>5.4871133099434104</v>
      </c>
      <c r="J370">
        <v>1</v>
      </c>
      <c r="K370">
        <v>67</v>
      </c>
      <c r="L370">
        <v>2.2136401466983199E-2</v>
      </c>
      <c r="M370" t="s">
        <v>103</v>
      </c>
    </row>
    <row r="371" spans="1:13" x14ac:dyDescent="0.2">
      <c r="A371" t="s">
        <v>64</v>
      </c>
      <c r="B371">
        <v>1.4941895026269001E-3</v>
      </c>
      <c r="C371">
        <v>1.3461004694893201E-3</v>
      </c>
      <c r="D371">
        <v>5.36939418677363E-3</v>
      </c>
      <c r="E371">
        <v>0.25069876091518001</v>
      </c>
      <c r="F371">
        <v>0.409193789525652</v>
      </c>
      <c r="G371">
        <v>6.9899724096827197E-3</v>
      </c>
      <c r="H371">
        <v>58.540115116738498</v>
      </c>
      <c r="I371">
        <v>6.2849868724419194E-2</v>
      </c>
      <c r="J371">
        <v>1</v>
      </c>
      <c r="K371">
        <v>42</v>
      </c>
      <c r="L371">
        <v>0.80326942132764301</v>
      </c>
      <c r="M371" t="s">
        <v>104</v>
      </c>
    </row>
    <row r="372" spans="1:13" x14ac:dyDescent="0.2">
      <c r="A372" t="s">
        <v>64</v>
      </c>
      <c r="B372">
        <v>3.7703594889717397E-2</v>
      </c>
      <c r="C372">
        <v>-9.3637305372804899E-3</v>
      </c>
      <c r="D372">
        <v>7.2994025285187799E-3</v>
      </c>
      <c r="E372">
        <v>-1.2828078052548</v>
      </c>
      <c r="F372">
        <v>0.49916582524317699</v>
      </c>
      <c r="G372">
        <v>9.5593622453417695E-3</v>
      </c>
      <c r="H372">
        <v>52.217481923171</v>
      </c>
      <c r="I372">
        <v>1.6455958652226801</v>
      </c>
      <c r="J372">
        <v>1</v>
      </c>
      <c r="K372">
        <v>42</v>
      </c>
      <c r="L372">
        <v>0.206593748645162</v>
      </c>
      <c r="M372" t="s">
        <v>105</v>
      </c>
    </row>
    <row r="373" spans="1:13" x14ac:dyDescent="0.2">
      <c r="A373" t="s">
        <v>65</v>
      </c>
      <c r="B373">
        <v>0.40299847615890799</v>
      </c>
      <c r="C373">
        <v>1.0830943128016799E-2</v>
      </c>
      <c r="D373">
        <v>4.39421233178818E-3</v>
      </c>
      <c r="E373">
        <v>2.4648201566557502</v>
      </c>
      <c r="F373">
        <v>0.29891564868259701</v>
      </c>
      <c r="G373">
        <v>3.5224580811428702E-3</v>
      </c>
      <c r="H373">
        <v>84.859959095840594</v>
      </c>
      <c r="I373">
        <v>6.0753384046563896</v>
      </c>
      <c r="J373">
        <v>1</v>
      </c>
      <c r="K373">
        <v>9</v>
      </c>
      <c r="L373">
        <v>3.5873839445946597E-2</v>
      </c>
      <c r="M373" t="s">
        <v>76</v>
      </c>
    </row>
    <row r="374" spans="1:13" x14ac:dyDescent="0.2">
      <c r="A374" t="s">
        <v>65</v>
      </c>
      <c r="B374">
        <v>3.3476225097890201E-2</v>
      </c>
      <c r="C374">
        <v>-1.9354862167932699E-2</v>
      </c>
      <c r="D374">
        <v>2.2694387526361999E-2</v>
      </c>
      <c r="E374">
        <v>-0.85284796275951202</v>
      </c>
      <c r="F374">
        <v>0.80360195208432095</v>
      </c>
      <c r="G374">
        <v>2.39944744625652E-2</v>
      </c>
      <c r="H374">
        <v>33.491125356300401</v>
      </c>
      <c r="I374">
        <v>0.72734964758305598</v>
      </c>
      <c r="J374">
        <v>1</v>
      </c>
      <c r="K374">
        <v>21</v>
      </c>
      <c r="L374">
        <v>0.40336631181727001</v>
      </c>
      <c r="M374" t="s">
        <v>78</v>
      </c>
    </row>
    <row r="375" spans="1:13" x14ac:dyDescent="0.2">
      <c r="A375" t="s">
        <v>65</v>
      </c>
      <c r="B375">
        <v>4.4263672471475599E-2</v>
      </c>
      <c r="C375">
        <v>-6.9887589758986599E-3</v>
      </c>
      <c r="D375">
        <v>1.0269407516971901E-2</v>
      </c>
      <c r="E375">
        <v>-0.68054159544731196</v>
      </c>
      <c r="F375">
        <v>0.64396087649790801</v>
      </c>
      <c r="G375">
        <v>8.6136209820614502E-3</v>
      </c>
      <c r="H375">
        <v>74.760762963567601</v>
      </c>
      <c r="I375">
        <v>0.463136863133985</v>
      </c>
      <c r="J375">
        <v>1</v>
      </c>
      <c r="K375">
        <v>10</v>
      </c>
      <c r="L375">
        <v>0.51161010835854204</v>
      </c>
      <c r="M375" t="s">
        <v>101</v>
      </c>
    </row>
    <row r="376" spans="1:13" x14ac:dyDescent="0.2">
      <c r="A376" t="s">
        <v>65</v>
      </c>
      <c r="B376">
        <v>0.164956162392005</v>
      </c>
      <c r="C376">
        <v>-6.0984450189707801E-2</v>
      </c>
      <c r="D376">
        <v>3.06813510915094E-2</v>
      </c>
      <c r="E376">
        <v>-1.9876715992009999</v>
      </c>
      <c r="F376">
        <v>1.13463305367497</v>
      </c>
      <c r="G376">
        <v>3.3112232425086797E-2</v>
      </c>
      <c r="H376">
        <v>34.266280784358699</v>
      </c>
      <c r="I376">
        <v>3.9508383862702701</v>
      </c>
      <c r="J376">
        <v>1</v>
      </c>
      <c r="K376">
        <v>20</v>
      </c>
      <c r="L376">
        <v>6.07133206815142E-2</v>
      </c>
      <c r="M376" t="s">
        <v>102</v>
      </c>
    </row>
    <row r="377" spans="1:13" x14ac:dyDescent="0.2">
      <c r="A377" t="s">
        <v>65</v>
      </c>
      <c r="B377">
        <v>0.10310364595315499</v>
      </c>
      <c r="C377">
        <v>-2.7100996376485099E-2</v>
      </c>
      <c r="D377">
        <v>1.16592454974853E-2</v>
      </c>
      <c r="E377">
        <v>-2.3244211113258002</v>
      </c>
      <c r="F377">
        <v>0.51570181751057098</v>
      </c>
      <c r="G377">
        <v>1.6492175078458099E-2</v>
      </c>
      <c r="H377">
        <v>31.269484774277799</v>
      </c>
      <c r="I377">
        <v>5.4029335027770804</v>
      </c>
      <c r="J377">
        <v>1</v>
      </c>
      <c r="K377">
        <v>47</v>
      </c>
      <c r="L377">
        <v>2.4474608692834798E-2</v>
      </c>
      <c r="M377" t="s">
        <v>103</v>
      </c>
    </row>
    <row r="378" spans="1:13" x14ac:dyDescent="0.2">
      <c r="A378" t="s">
        <v>65</v>
      </c>
      <c r="B378">
        <v>2.2586250845342701E-2</v>
      </c>
      <c r="C378">
        <v>-6.3398082389864103E-3</v>
      </c>
      <c r="D378">
        <v>7.3725594140085001E-3</v>
      </c>
      <c r="E378">
        <v>-0.85991958599075102</v>
      </c>
      <c r="F378">
        <v>0.410220693646209</v>
      </c>
      <c r="G378">
        <v>9.0049732670858303E-3</v>
      </c>
      <c r="H378">
        <v>45.554904104558602</v>
      </c>
      <c r="I378">
        <v>0.73946169437054199</v>
      </c>
      <c r="J378">
        <v>1</v>
      </c>
      <c r="K378">
        <v>32</v>
      </c>
      <c r="L378">
        <v>0.39623019283552802</v>
      </c>
      <c r="M378" t="s">
        <v>104</v>
      </c>
    </row>
    <row r="379" spans="1:13" x14ac:dyDescent="0.2">
      <c r="A379" t="s">
        <v>65</v>
      </c>
      <c r="B379">
        <v>1.3479299958287401E-3</v>
      </c>
      <c r="C379">
        <v>-1.43347174101893E-3</v>
      </c>
      <c r="D379">
        <v>7.1236396546554299E-3</v>
      </c>
      <c r="E379">
        <v>-0.20122743576482499</v>
      </c>
      <c r="F379">
        <v>0.48681662077090598</v>
      </c>
      <c r="G379">
        <v>8.5258306699527806E-3</v>
      </c>
      <c r="H379">
        <v>57.099025258216002</v>
      </c>
      <c r="I379">
        <v>4.0492480904478899E-2</v>
      </c>
      <c r="J379">
        <v>1</v>
      </c>
      <c r="K379">
        <v>30</v>
      </c>
      <c r="L379">
        <v>0.84187890453736502</v>
      </c>
      <c r="M379" t="s">
        <v>105</v>
      </c>
    </row>
    <row r="380" spans="1:13" x14ac:dyDescent="0.2">
      <c r="A380" t="s">
        <v>66</v>
      </c>
      <c r="B380">
        <v>0.39986414307025703</v>
      </c>
      <c r="C380">
        <v>1.6615911030843401E-2</v>
      </c>
      <c r="D380">
        <v>6.4371364524557599E-3</v>
      </c>
      <c r="E380">
        <v>2.5812581655783302</v>
      </c>
      <c r="F380">
        <v>0.29320286206325502</v>
      </c>
      <c r="G380">
        <v>5.7745709443495202E-3</v>
      </c>
      <c r="H380">
        <v>50.774830699786797</v>
      </c>
      <c r="I380">
        <v>6.6628937173648701</v>
      </c>
      <c r="J380">
        <v>1</v>
      </c>
      <c r="K380">
        <v>10</v>
      </c>
      <c r="L380">
        <v>2.7357193899684801E-2</v>
      </c>
      <c r="M380" t="s">
        <v>76</v>
      </c>
    </row>
    <row r="381" spans="1:13" x14ac:dyDescent="0.2">
      <c r="A381" t="s">
        <v>66</v>
      </c>
      <c r="B381">
        <v>5.5327812172554598E-3</v>
      </c>
      <c r="C381">
        <v>-8.5355059283575407E-3</v>
      </c>
      <c r="D381">
        <v>2.16258775658155E-2</v>
      </c>
      <c r="E381">
        <v>-0.394689459532028</v>
      </c>
      <c r="F381">
        <v>0.79020421990232304</v>
      </c>
      <c r="G381">
        <v>2.4717839186620402E-2</v>
      </c>
      <c r="H381">
        <v>31.9689845838165</v>
      </c>
      <c r="I381">
        <v>0.15577976946568101</v>
      </c>
      <c r="J381">
        <v>1</v>
      </c>
      <c r="K381">
        <v>28</v>
      </c>
      <c r="L381">
        <v>0.69606257368615299</v>
      </c>
      <c r="M381" t="s">
        <v>78</v>
      </c>
    </row>
    <row r="382" spans="1:13" x14ac:dyDescent="0.2">
      <c r="A382" t="s">
        <v>66</v>
      </c>
      <c r="B382">
        <v>0.283553919098117</v>
      </c>
      <c r="C382">
        <v>-2.05706333354236E-2</v>
      </c>
      <c r="D382">
        <v>1.08993434267076E-2</v>
      </c>
      <c r="E382">
        <v>-1.8873277526990899</v>
      </c>
      <c r="F382">
        <v>0.65453957736592105</v>
      </c>
      <c r="G382">
        <v>8.7935649546835894E-3</v>
      </c>
      <c r="H382">
        <v>74.433927620822601</v>
      </c>
      <c r="I382">
        <v>3.5620060461082299</v>
      </c>
      <c r="J382">
        <v>1</v>
      </c>
      <c r="K382">
        <v>9</v>
      </c>
      <c r="L382">
        <v>9.1726913735615201E-2</v>
      </c>
      <c r="M382" t="s">
        <v>101</v>
      </c>
    </row>
    <row r="383" spans="1:13" x14ac:dyDescent="0.2">
      <c r="A383" t="s">
        <v>66</v>
      </c>
      <c r="B383">
        <v>0.12615281512451201</v>
      </c>
      <c r="C383">
        <v>6.2996066291175296E-2</v>
      </c>
      <c r="D383">
        <v>3.5348530448923297E-2</v>
      </c>
      <c r="E383">
        <v>1.7821410251326</v>
      </c>
      <c r="F383">
        <v>1.02072604963295</v>
      </c>
      <c r="G383">
        <v>3.7213249005605797E-2</v>
      </c>
      <c r="H383">
        <v>27.429103260486201</v>
      </c>
      <c r="I383">
        <v>3.1760266334607699</v>
      </c>
      <c r="J383">
        <v>1</v>
      </c>
      <c r="K383">
        <v>22</v>
      </c>
      <c r="L383">
        <v>8.8535076826804199E-2</v>
      </c>
      <c r="M383" t="s">
        <v>102</v>
      </c>
    </row>
    <row r="384" spans="1:13" x14ac:dyDescent="0.2">
      <c r="A384" t="s">
        <v>66</v>
      </c>
      <c r="B384">
        <v>5.0673870928696498E-2</v>
      </c>
      <c r="C384">
        <v>-1.8711489281061301E-2</v>
      </c>
      <c r="D384">
        <v>1.0920504123931E-2</v>
      </c>
      <c r="E384">
        <v>-1.7134272437164499</v>
      </c>
      <c r="F384">
        <v>0.50130532869565303</v>
      </c>
      <c r="G384">
        <v>1.5956863772225799E-2</v>
      </c>
      <c r="H384">
        <v>31.4162817864133</v>
      </c>
      <c r="I384">
        <v>2.9358329195097599</v>
      </c>
      <c r="J384">
        <v>1</v>
      </c>
      <c r="K384">
        <v>55</v>
      </c>
      <c r="L384">
        <v>9.2265884331705503E-2</v>
      </c>
      <c r="M384" t="s">
        <v>103</v>
      </c>
    </row>
    <row r="385" spans="1:13" x14ac:dyDescent="0.2">
      <c r="A385" t="s">
        <v>66</v>
      </c>
      <c r="B385">
        <v>8.6600958677817506E-3</v>
      </c>
      <c r="C385">
        <v>-4.4378864059751201E-3</v>
      </c>
      <c r="D385">
        <v>7.9136142269193004E-3</v>
      </c>
      <c r="E385">
        <v>-0.56079135003561398</v>
      </c>
      <c r="F385">
        <v>0.406100648418937</v>
      </c>
      <c r="G385">
        <v>9.9614958161098905E-3</v>
      </c>
      <c r="H385">
        <v>40.767034983057897</v>
      </c>
      <c r="I385">
        <v>0.31448693827476798</v>
      </c>
      <c r="J385">
        <v>1</v>
      </c>
      <c r="K385">
        <v>36</v>
      </c>
      <c r="L385">
        <v>0.57841373328676804</v>
      </c>
      <c r="M385" t="s">
        <v>104</v>
      </c>
    </row>
    <row r="386" spans="1:13" x14ac:dyDescent="0.2">
      <c r="A386" t="s">
        <v>66</v>
      </c>
      <c r="B386">
        <v>3.7477610749052301E-2</v>
      </c>
      <c r="C386">
        <v>6.5431910846627302E-3</v>
      </c>
      <c r="D386">
        <v>5.6868217665547501E-3</v>
      </c>
      <c r="E386">
        <v>1.1505883871980001</v>
      </c>
      <c r="F386">
        <v>0.47635164976503303</v>
      </c>
      <c r="G386">
        <v>7.0710739690968902E-3</v>
      </c>
      <c r="H386">
        <v>67.366237695555</v>
      </c>
      <c r="I386">
        <v>1.32385363675479</v>
      </c>
      <c r="J386">
        <v>1</v>
      </c>
      <c r="K386">
        <v>34</v>
      </c>
      <c r="L386">
        <v>0.25792979062704102</v>
      </c>
      <c r="M386" t="s">
        <v>105</v>
      </c>
    </row>
    <row r="387" spans="1:13" x14ac:dyDescent="0.2">
      <c r="A387" t="s">
        <v>67</v>
      </c>
      <c r="B387">
        <v>0.11922655068216299</v>
      </c>
      <c r="C387">
        <v>3.28359242506783E-3</v>
      </c>
      <c r="D387">
        <v>2.57634630669562E-3</v>
      </c>
      <c r="E387">
        <v>1.2745151599123801</v>
      </c>
      <c r="F387">
        <v>0.30207038553244298</v>
      </c>
      <c r="G387">
        <v>2.3682005896232599E-3</v>
      </c>
      <c r="H387">
        <v>127.552702611436</v>
      </c>
      <c r="I387">
        <v>1.62438889284646</v>
      </c>
      <c r="J387">
        <v>1</v>
      </c>
      <c r="K387">
        <v>12</v>
      </c>
      <c r="L387">
        <v>0.22660840788299599</v>
      </c>
      <c r="M387" t="s">
        <v>76</v>
      </c>
    </row>
    <row r="388" spans="1:13" x14ac:dyDescent="0.2">
      <c r="A388" t="s">
        <v>67</v>
      </c>
      <c r="B388">
        <v>4.1167256022824297E-2</v>
      </c>
      <c r="C388">
        <v>3.41597253939038E-2</v>
      </c>
      <c r="D388">
        <v>2.96093580733773E-2</v>
      </c>
      <c r="E388">
        <v>1.1536800395756599</v>
      </c>
      <c r="F388">
        <v>0.73413768916220901</v>
      </c>
      <c r="G388">
        <v>3.4073229383707299E-2</v>
      </c>
      <c r="H388">
        <v>21.545879344012199</v>
      </c>
      <c r="I388">
        <v>1.33097763371537</v>
      </c>
      <c r="J388">
        <v>1</v>
      </c>
      <c r="K388">
        <v>31</v>
      </c>
      <c r="L388">
        <v>0.257448843245487</v>
      </c>
      <c r="M388" t="s">
        <v>78</v>
      </c>
    </row>
    <row r="389" spans="1:13" x14ac:dyDescent="0.2">
      <c r="A389" t="s">
        <v>67</v>
      </c>
      <c r="B389">
        <v>0.28399910502625397</v>
      </c>
      <c r="C389">
        <v>1.45605843606875E-2</v>
      </c>
      <c r="D389">
        <v>6.67400424762937E-3</v>
      </c>
      <c r="E389">
        <v>2.1816864090039298</v>
      </c>
      <c r="F389">
        <v>0.62950711782409696</v>
      </c>
      <c r="G389">
        <v>5.6688026248329897E-3</v>
      </c>
      <c r="H389">
        <v>111.047633774803</v>
      </c>
      <c r="I389">
        <v>4.7597555872329096</v>
      </c>
      <c r="J389">
        <v>1</v>
      </c>
      <c r="K389">
        <v>12</v>
      </c>
      <c r="L389">
        <v>4.9743362453693998E-2</v>
      </c>
      <c r="M389" t="s">
        <v>101</v>
      </c>
    </row>
    <row r="390" spans="1:13" x14ac:dyDescent="0.2">
      <c r="A390" t="s">
        <v>67</v>
      </c>
      <c r="B390">
        <v>4.7119158760001202E-2</v>
      </c>
      <c r="C390">
        <v>2.74048930536357E-2</v>
      </c>
      <c r="D390">
        <v>2.4169183055933699E-2</v>
      </c>
      <c r="E390">
        <v>1.1338775079908101</v>
      </c>
      <c r="F390">
        <v>1.0533548741843399</v>
      </c>
      <c r="G390">
        <v>2.67995686150229E-2</v>
      </c>
      <c r="H390">
        <v>39.304919019997598</v>
      </c>
      <c r="I390">
        <v>1.2856782031274701</v>
      </c>
      <c r="J390">
        <v>1</v>
      </c>
      <c r="K390">
        <v>26</v>
      </c>
      <c r="L390">
        <v>0.26719291941294898</v>
      </c>
      <c r="M390" t="s">
        <v>102</v>
      </c>
    </row>
    <row r="391" spans="1:13" x14ac:dyDescent="0.2">
      <c r="A391" t="s">
        <v>67</v>
      </c>
      <c r="B391">
        <v>0.14958766471049001</v>
      </c>
      <c r="C391">
        <v>-2.86722361669789E-2</v>
      </c>
      <c r="D391">
        <v>8.5455193634866901E-3</v>
      </c>
      <c r="E391">
        <v>-3.3552362293495799</v>
      </c>
      <c r="F391">
        <v>0.51919773160827798</v>
      </c>
      <c r="G391">
        <v>1.28837180851429E-2</v>
      </c>
      <c r="H391">
        <v>40.2987498001064</v>
      </c>
      <c r="I391">
        <v>11.25761015474</v>
      </c>
      <c r="J391">
        <v>1</v>
      </c>
      <c r="K391">
        <v>64</v>
      </c>
      <c r="L391">
        <v>1.33711925337215E-3</v>
      </c>
      <c r="M391" t="s">
        <v>103</v>
      </c>
    </row>
    <row r="392" spans="1:13" x14ac:dyDescent="0.2">
      <c r="A392" t="s">
        <v>67</v>
      </c>
      <c r="B392">
        <v>7.1504962631007002E-2</v>
      </c>
      <c r="C392">
        <v>-8.5684352388999407E-3</v>
      </c>
      <c r="D392">
        <v>4.9441417834183701E-3</v>
      </c>
      <c r="E392">
        <v>-1.73304804235928</v>
      </c>
      <c r="F392">
        <v>0.41450239669817401</v>
      </c>
      <c r="G392">
        <v>6.3141252164841902E-3</v>
      </c>
      <c r="H392">
        <v>65.646844572552894</v>
      </c>
      <c r="I392">
        <v>3.0034555171252002</v>
      </c>
      <c r="J392">
        <v>1</v>
      </c>
      <c r="K392">
        <v>39</v>
      </c>
      <c r="L392">
        <v>9.0988660872827504E-2</v>
      </c>
      <c r="M392" t="s">
        <v>104</v>
      </c>
    </row>
    <row r="393" spans="1:13" x14ac:dyDescent="0.2">
      <c r="A393" t="s">
        <v>67</v>
      </c>
      <c r="B393">
        <v>3.7258750430195102E-2</v>
      </c>
      <c r="C393">
        <v>-7.0849496443225503E-3</v>
      </c>
      <c r="D393">
        <v>5.7669357319065397E-3</v>
      </c>
      <c r="E393">
        <v>-1.22854666215957</v>
      </c>
      <c r="F393">
        <v>0.49253609409530202</v>
      </c>
      <c r="G393">
        <v>7.3883777971168298E-3</v>
      </c>
      <c r="H393">
        <v>66.663631397883407</v>
      </c>
      <c r="I393">
        <v>1.5093269011034001</v>
      </c>
      <c r="J393">
        <v>1</v>
      </c>
      <c r="K393">
        <v>39</v>
      </c>
      <c r="L393">
        <v>0.22660403422855699</v>
      </c>
      <c r="M393" t="s">
        <v>105</v>
      </c>
    </row>
    <row r="394" spans="1:13" x14ac:dyDescent="0.2">
      <c r="A394" t="s">
        <v>68</v>
      </c>
      <c r="B394">
        <v>0.182341010524568</v>
      </c>
      <c r="C394">
        <v>1.3186016587981599E-2</v>
      </c>
      <c r="D394">
        <v>8.0605917177419203E-3</v>
      </c>
      <c r="E394">
        <v>1.63586211158149</v>
      </c>
      <c r="F394">
        <v>0.29540726066171502</v>
      </c>
      <c r="G394">
        <v>7.1782350834239898E-3</v>
      </c>
      <c r="H394">
        <v>41.153188385244</v>
      </c>
      <c r="I394">
        <v>2.6760448481078698</v>
      </c>
      <c r="J394">
        <v>1</v>
      </c>
      <c r="K394">
        <v>12</v>
      </c>
      <c r="L394">
        <v>0.12780842296838299</v>
      </c>
      <c r="M394" t="s">
        <v>76</v>
      </c>
    </row>
    <row r="395" spans="1:13" x14ac:dyDescent="0.2">
      <c r="A395" t="s">
        <v>68</v>
      </c>
      <c r="B395">
        <v>0.34743107740144502</v>
      </c>
      <c r="C395">
        <v>0.140351436210328</v>
      </c>
      <c r="D395">
        <v>3.2513348649086601E-2</v>
      </c>
      <c r="E395">
        <v>4.3167327279982102</v>
      </c>
      <c r="F395">
        <v>0.59759914664533198</v>
      </c>
      <c r="G395">
        <v>4.1069700475552098E-2</v>
      </c>
      <c r="H395">
        <v>14.5508523248439</v>
      </c>
      <c r="I395">
        <v>18.6341814449708</v>
      </c>
      <c r="J395">
        <v>1</v>
      </c>
      <c r="K395">
        <v>35</v>
      </c>
      <c r="L395">
        <v>1.2372493926821201E-4</v>
      </c>
      <c r="M395" t="s">
        <v>78</v>
      </c>
    </row>
    <row r="396" spans="1:13" x14ac:dyDescent="0.2">
      <c r="A396" t="s">
        <v>68</v>
      </c>
      <c r="B396">
        <v>0.42703277628708203</v>
      </c>
      <c r="C396">
        <v>2.55468014149604E-2</v>
      </c>
      <c r="D396">
        <v>8.2072779287480808E-3</v>
      </c>
      <c r="E396">
        <v>3.1127009023876502</v>
      </c>
      <c r="F396">
        <v>0.62290492469286896</v>
      </c>
      <c r="G396">
        <v>7.3110888084615801E-3</v>
      </c>
      <c r="H396">
        <v>85.200021639997303</v>
      </c>
      <c r="I396">
        <v>9.6889069077249399</v>
      </c>
      <c r="J396">
        <v>1</v>
      </c>
      <c r="K396">
        <v>13</v>
      </c>
      <c r="L396">
        <v>8.2427611280444998E-3</v>
      </c>
      <c r="M396" t="s">
        <v>101</v>
      </c>
    </row>
    <row r="397" spans="1:13" x14ac:dyDescent="0.2">
      <c r="A397" t="s">
        <v>68</v>
      </c>
      <c r="B397">
        <v>0.31372409207234297</v>
      </c>
      <c r="C397">
        <v>0.105380963123064</v>
      </c>
      <c r="D397">
        <v>2.9995473525139801E-2</v>
      </c>
      <c r="E397">
        <v>3.51322885550523</v>
      </c>
      <c r="F397">
        <v>0.97287711548737699</v>
      </c>
      <c r="G397">
        <v>3.5536272568124097E-2</v>
      </c>
      <c r="H397">
        <v>27.3770163604622</v>
      </c>
      <c r="I397">
        <v>12.342776991154601</v>
      </c>
      <c r="J397">
        <v>1</v>
      </c>
      <c r="K397">
        <v>27</v>
      </c>
      <c r="L397">
        <v>1.57883462427495E-3</v>
      </c>
      <c r="M397" t="s">
        <v>102</v>
      </c>
    </row>
    <row r="398" spans="1:13" x14ac:dyDescent="0.2">
      <c r="A398" t="s">
        <v>68</v>
      </c>
      <c r="B398">
        <v>2.5936963804022901E-2</v>
      </c>
      <c r="C398">
        <v>-1.8525600216631299E-2</v>
      </c>
      <c r="D398">
        <v>1.35692933441063E-2</v>
      </c>
      <c r="E398">
        <v>-1.3652590261583299</v>
      </c>
      <c r="F398">
        <v>0.51218107594451301</v>
      </c>
      <c r="G398">
        <v>2.1007052975012399E-2</v>
      </c>
      <c r="H398">
        <v>24.381386411208901</v>
      </c>
      <c r="I398">
        <v>1.8639322085068</v>
      </c>
      <c r="J398">
        <v>1</v>
      </c>
      <c r="K398">
        <v>70</v>
      </c>
      <c r="L398">
        <v>0.17654334378853001</v>
      </c>
      <c r="M398" t="s">
        <v>103</v>
      </c>
    </row>
    <row r="399" spans="1:13" x14ac:dyDescent="0.2">
      <c r="A399" t="s">
        <v>68</v>
      </c>
      <c r="B399">
        <v>1.46569172185754E-3</v>
      </c>
      <c r="C399">
        <v>3.3449750181528499E-3</v>
      </c>
      <c r="D399">
        <v>1.3162146442858701E-2</v>
      </c>
      <c r="E399">
        <v>0.254135982506692</v>
      </c>
      <c r="F399">
        <v>0.40856516897988499</v>
      </c>
      <c r="G399">
        <v>1.7680581956237899E-2</v>
      </c>
      <c r="H399">
        <v>23.1081290192339</v>
      </c>
      <c r="I399">
        <v>6.4585097604646396E-2</v>
      </c>
      <c r="J399">
        <v>1</v>
      </c>
      <c r="K399">
        <v>44</v>
      </c>
      <c r="L399">
        <v>0.80057441844849297</v>
      </c>
      <c r="M399" t="s">
        <v>104</v>
      </c>
    </row>
    <row r="400" spans="1:13" x14ac:dyDescent="0.2">
      <c r="A400" t="s">
        <v>68</v>
      </c>
      <c r="B400">
        <v>6.9190576929696407E-2</v>
      </c>
      <c r="C400">
        <v>-1.6420394888404001E-2</v>
      </c>
      <c r="D400">
        <v>9.2932123646174199E-3</v>
      </c>
      <c r="E400">
        <v>-1.76692345382338</v>
      </c>
      <c r="F400">
        <v>0.512918799893191</v>
      </c>
      <c r="G400">
        <v>1.22413080680688E-2</v>
      </c>
      <c r="H400">
        <v>41.900652858425097</v>
      </c>
      <c r="I400">
        <v>3.12201849167116</v>
      </c>
      <c r="J400">
        <v>1</v>
      </c>
      <c r="K400">
        <v>42</v>
      </c>
      <c r="L400">
        <v>8.4507360804680506E-2</v>
      </c>
      <c r="M400" t="s">
        <v>105</v>
      </c>
    </row>
    <row r="401" spans="1:13" x14ac:dyDescent="0.2">
      <c r="A401" t="s">
        <v>69</v>
      </c>
      <c r="B401">
        <v>0.136409071037396</v>
      </c>
      <c r="C401">
        <v>7.1305364888666796E-3</v>
      </c>
      <c r="D401">
        <v>4.6324313003645303E-3</v>
      </c>
      <c r="E401">
        <v>1.5392643790109899</v>
      </c>
      <c r="F401">
        <v>0.29980940057980698</v>
      </c>
      <c r="G401">
        <v>4.4119555860572699E-3</v>
      </c>
      <c r="H401">
        <v>67.953857361408794</v>
      </c>
      <c r="I401">
        <v>2.3693348284921001</v>
      </c>
      <c r="J401">
        <v>1</v>
      </c>
      <c r="K401">
        <v>15</v>
      </c>
      <c r="L401">
        <v>0.14456635364154199</v>
      </c>
      <c r="M401" t="s">
        <v>76</v>
      </c>
    </row>
    <row r="402" spans="1:13" x14ac:dyDescent="0.2">
      <c r="A402" t="s">
        <v>69</v>
      </c>
      <c r="B402">
        <v>0.20398977934186999</v>
      </c>
      <c r="C402">
        <v>7.5118182458765198E-2</v>
      </c>
      <c r="D402">
        <v>2.5082231219993398E-2</v>
      </c>
      <c r="E402">
        <v>2.9948764047309901</v>
      </c>
      <c r="F402">
        <v>0.68537433007599902</v>
      </c>
      <c r="G402">
        <v>3.0959391524673301E-2</v>
      </c>
      <c r="H402">
        <v>22.137848850478399</v>
      </c>
      <c r="I402">
        <v>8.9692846796143897</v>
      </c>
      <c r="J402">
        <v>1</v>
      </c>
      <c r="K402">
        <v>35</v>
      </c>
      <c r="L402">
        <v>5.0152410097577399E-3</v>
      </c>
      <c r="M402" t="s">
        <v>78</v>
      </c>
    </row>
    <row r="403" spans="1:13" x14ac:dyDescent="0.2">
      <c r="A403" t="s">
        <v>69</v>
      </c>
      <c r="B403">
        <v>0.216849031974127</v>
      </c>
      <c r="C403">
        <v>2.62442284639781E-2</v>
      </c>
      <c r="D403">
        <v>1.38326737577673E-2</v>
      </c>
      <c r="E403">
        <v>1.8972636038091699</v>
      </c>
      <c r="F403">
        <v>0.62485069042657204</v>
      </c>
      <c r="G403">
        <v>1.23688987505285E-2</v>
      </c>
      <c r="H403">
        <v>50.517891934386903</v>
      </c>
      <c r="I403">
        <v>3.5996091823390599</v>
      </c>
      <c r="J403">
        <v>1</v>
      </c>
      <c r="K403">
        <v>13</v>
      </c>
      <c r="L403">
        <v>8.0227518066133596E-2</v>
      </c>
      <c r="M403" t="s">
        <v>101</v>
      </c>
    </row>
    <row r="404" spans="1:13" x14ac:dyDescent="0.2">
      <c r="A404" t="s">
        <v>69</v>
      </c>
      <c r="B404">
        <v>0.106871155121895</v>
      </c>
      <c r="C404">
        <v>4.7449450025687699E-2</v>
      </c>
      <c r="D404">
        <v>2.5043634784001598E-2</v>
      </c>
      <c r="E404">
        <v>1.8946710585317901</v>
      </c>
      <c r="F404">
        <v>1.0430216558896199</v>
      </c>
      <c r="G404">
        <v>3.0628951312879901E-2</v>
      </c>
      <c r="H404">
        <v>34.053456327478301</v>
      </c>
      <c r="I404">
        <v>3.5897784200379599</v>
      </c>
      <c r="J404">
        <v>1</v>
      </c>
      <c r="K404">
        <v>30</v>
      </c>
      <c r="L404">
        <v>6.7810884858718307E-2</v>
      </c>
      <c r="M404" t="s">
        <v>102</v>
      </c>
    </row>
    <row r="405" spans="1:13" x14ac:dyDescent="0.2">
      <c r="A405" t="s">
        <v>69</v>
      </c>
      <c r="B405">
        <v>2.38822767746815E-2</v>
      </c>
      <c r="C405">
        <v>-1.6334636942573599E-2</v>
      </c>
      <c r="D405">
        <v>1.25718206400988E-2</v>
      </c>
      <c r="E405">
        <v>-1.2993055986237101</v>
      </c>
      <c r="F405">
        <v>0.51296072742075405</v>
      </c>
      <c r="G405">
        <v>1.9116208290257501E-2</v>
      </c>
      <c r="H405">
        <v>26.833811372634099</v>
      </c>
      <c r="I405">
        <v>1.6881950386148701</v>
      </c>
      <c r="J405">
        <v>1</v>
      </c>
      <c r="K405">
        <v>69</v>
      </c>
      <c r="L405">
        <v>0.198163761883107</v>
      </c>
      <c r="M405" t="s">
        <v>103</v>
      </c>
    </row>
    <row r="406" spans="1:13" x14ac:dyDescent="0.2">
      <c r="A406" t="s">
        <v>69</v>
      </c>
      <c r="B406">
        <v>1.2743819939056099E-3</v>
      </c>
      <c r="C406">
        <v>-1.8904575447069999E-3</v>
      </c>
      <c r="D406">
        <v>8.2651032239830294E-3</v>
      </c>
      <c r="E406">
        <v>-0.22872763878149999</v>
      </c>
      <c r="F406">
        <v>0.409973755346206</v>
      </c>
      <c r="G406">
        <v>1.07515432451518E-2</v>
      </c>
      <c r="H406">
        <v>38.131619433431098</v>
      </c>
      <c r="I406">
        <v>5.2316332742564503E-2</v>
      </c>
      <c r="J406">
        <v>1</v>
      </c>
      <c r="K406">
        <v>41</v>
      </c>
      <c r="L406">
        <v>0.82021767388749001</v>
      </c>
      <c r="M406" t="s">
        <v>104</v>
      </c>
    </row>
    <row r="407" spans="1:13" x14ac:dyDescent="0.2">
      <c r="A407" t="s">
        <v>69</v>
      </c>
      <c r="B407">
        <v>0.25171008956448998</v>
      </c>
      <c r="C407">
        <v>-1.9017673545118598E-2</v>
      </c>
      <c r="D407">
        <v>5.1209447749077097E-3</v>
      </c>
      <c r="E407">
        <v>-3.7137040880237402</v>
      </c>
      <c r="F407">
        <v>0.51199982263334098</v>
      </c>
      <c r="G407">
        <v>6.6491799672646398E-3</v>
      </c>
      <c r="H407">
        <v>77.001949887659407</v>
      </c>
      <c r="I407">
        <v>13.791598053403799</v>
      </c>
      <c r="J407">
        <v>1</v>
      </c>
      <c r="K407">
        <v>41</v>
      </c>
      <c r="L407">
        <v>6.0909722095194897E-4</v>
      </c>
      <c r="M407" t="s">
        <v>105</v>
      </c>
    </row>
    <row r="408" spans="1:13" x14ac:dyDescent="0.2">
      <c r="A408" t="s">
        <v>70</v>
      </c>
      <c r="B408">
        <v>0.19098451723927201</v>
      </c>
      <c r="C408">
        <v>1.1030837044651401E-2</v>
      </c>
      <c r="D408">
        <v>6.06769562468484E-3</v>
      </c>
      <c r="E408">
        <v>1.81796150086621</v>
      </c>
      <c r="F408">
        <v>0.29677170572925499</v>
      </c>
      <c r="G408">
        <v>5.5821984660651804E-3</v>
      </c>
      <c r="H408">
        <v>53.163947418452501</v>
      </c>
      <c r="I408">
        <v>3.3049840186316901</v>
      </c>
      <c r="J408">
        <v>1</v>
      </c>
      <c r="K408">
        <v>14</v>
      </c>
      <c r="L408">
        <v>9.0527191573098006E-2</v>
      </c>
      <c r="M408" t="s">
        <v>76</v>
      </c>
    </row>
    <row r="409" spans="1:13" x14ac:dyDescent="0.2">
      <c r="A409" t="s">
        <v>70</v>
      </c>
      <c r="B409">
        <v>0.19981267049224999</v>
      </c>
      <c r="C409">
        <v>9.1831938029132004E-2</v>
      </c>
      <c r="D409">
        <v>3.1990505518600901E-2</v>
      </c>
      <c r="E409">
        <v>2.8705997776664098</v>
      </c>
      <c r="F409">
        <v>0.66096625948405596</v>
      </c>
      <c r="G409">
        <v>3.9141458016206297E-2</v>
      </c>
      <c r="H409">
        <v>16.8866029265028</v>
      </c>
      <c r="I409">
        <v>8.2403430835384004</v>
      </c>
      <c r="J409">
        <v>1</v>
      </c>
      <c r="K409">
        <v>33</v>
      </c>
      <c r="L409">
        <v>7.1000553836037001E-3</v>
      </c>
      <c r="M409" t="s">
        <v>78</v>
      </c>
    </row>
    <row r="410" spans="1:13" x14ac:dyDescent="0.2">
      <c r="A410" t="s">
        <v>70</v>
      </c>
      <c r="B410">
        <v>0.147418803373151</v>
      </c>
      <c r="C410">
        <v>2.7880752142967601E-2</v>
      </c>
      <c r="D410">
        <v>1.7919748166772699E-2</v>
      </c>
      <c r="E410">
        <v>1.5558674085981199</v>
      </c>
      <c r="F410">
        <v>0.62435028257630298</v>
      </c>
      <c r="G410">
        <v>1.66119713646747E-2</v>
      </c>
      <c r="H410">
        <v>37.584358223972302</v>
      </c>
      <c r="I410">
        <v>2.42072339313789</v>
      </c>
      <c r="J410">
        <v>1</v>
      </c>
      <c r="K410">
        <v>14</v>
      </c>
      <c r="L410">
        <v>0.14205086978078901</v>
      </c>
      <c r="M410" t="s">
        <v>101</v>
      </c>
    </row>
    <row r="411" spans="1:13" x14ac:dyDescent="0.2">
      <c r="A411" t="s">
        <v>70</v>
      </c>
      <c r="B411">
        <v>0.178048613819771</v>
      </c>
      <c r="C411">
        <v>5.7479882886757303E-2</v>
      </c>
      <c r="D411">
        <v>2.21813919187741E-2</v>
      </c>
      <c r="E411">
        <v>2.5913559932236199</v>
      </c>
      <c r="F411">
        <v>1.0303792235136</v>
      </c>
      <c r="G411">
        <v>2.7186092589956599E-2</v>
      </c>
      <c r="H411">
        <v>37.900967934400803</v>
      </c>
      <c r="I411">
        <v>6.71512588361598</v>
      </c>
      <c r="J411">
        <v>1</v>
      </c>
      <c r="K411">
        <v>31</v>
      </c>
      <c r="L411">
        <v>1.4447189271710801E-2</v>
      </c>
      <c r="M411" t="s">
        <v>102</v>
      </c>
    </row>
    <row r="412" spans="1:13" x14ac:dyDescent="0.2">
      <c r="A412" t="s">
        <v>70</v>
      </c>
      <c r="B412">
        <v>9.0098839597197809E-3</v>
      </c>
      <c r="C412">
        <v>1.08431862884648E-2</v>
      </c>
      <c r="D412">
        <v>1.34018802650369E-2</v>
      </c>
      <c r="E412">
        <v>0.80907947795599799</v>
      </c>
      <c r="F412">
        <v>0.47498880528870802</v>
      </c>
      <c r="G412">
        <v>2.0693873007748598E-2</v>
      </c>
      <c r="H412">
        <v>22.953112987155901</v>
      </c>
      <c r="I412">
        <v>0.65460960164960602</v>
      </c>
      <c r="J412">
        <v>1</v>
      </c>
      <c r="K412">
        <v>72</v>
      </c>
      <c r="L412">
        <v>0.42113505388010197</v>
      </c>
      <c r="M412" t="s">
        <v>103</v>
      </c>
    </row>
    <row r="413" spans="1:13" x14ac:dyDescent="0.2">
      <c r="A413" t="s">
        <v>70</v>
      </c>
      <c r="B413">
        <v>9.5361837319474202E-2</v>
      </c>
      <c r="C413">
        <v>-1.4242632841159401E-2</v>
      </c>
      <c r="D413">
        <v>6.7688638859061002E-3</v>
      </c>
      <c r="E413">
        <v>-2.1041393476407402</v>
      </c>
      <c r="F413">
        <v>0.42303793103159099</v>
      </c>
      <c r="G413">
        <v>8.8740265413184E-3</v>
      </c>
      <c r="H413">
        <v>47.6714746188647</v>
      </c>
      <c r="I413">
        <v>4.4274023942900502</v>
      </c>
      <c r="J413">
        <v>1</v>
      </c>
      <c r="K413">
        <v>42</v>
      </c>
      <c r="L413">
        <v>4.1392828969954602E-2</v>
      </c>
      <c r="M413" t="s">
        <v>104</v>
      </c>
    </row>
    <row r="414" spans="1:13" x14ac:dyDescent="0.2">
      <c r="A414" t="s">
        <v>70</v>
      </c>
      <c r="B414">
        <v>8.0794259369835197E-2</v>
      </c>
      <c r="C414">
        <v>-1.40973655903293E-2</v>
      </c>
      <c r="D414">
        <v>7.1684908657576899E-3</v>
      </c>
      <c r="E414">
        <v>-1.9665736979130899</v>
      </c>
      <c r="F414">
        <v>0.50712796150111805</v>
      </c>
      <c r="G414">
        <v>9.4449007522812399E-3</v>
      </c>
      <c r="H414">
        <v>53.693307616666097</v>
      </c>
      <c r="I414">
        <v>3.8674121093234701</v>
      </c>
      <c r="J414">
        <v>1</v>
      </c>
      <c r="K414">
        <v>44</v>
      </c>
      <c r="L414">
        <v>5.5559692174760401E-2</v>
      </c>
      <c r="M414" t="s">
        <v>105</v>
      </c>
    </row>
    <row r="415" spans="1:13" x14ac:dyDescent="0.2">
      <c r="A415" t="s">
        <v>71</v>
      </c>
      <c r="B415">
        <v>0.33662826146388902</v>
      </c>
      <c r="C415">
        <v>1.51955220026877E-2</v>
      </c>
      <c r="D415">
        <v>6.1578371070270402E-3</v>
      </c>
      <c r="E415">
        <v>2.4676719664031501</v>
      </c>
      <c r="F415">
        <v>0.29514640399409298</v>
      </c>
      <c r="G415">
        <v>5.4353065517767796E-3</v>
      </c>
      <c r="H415">
        <v>54.301703350588397</v>
      </c>
      <c r="I415">
        <v>6.0894049337719496</v>
      </c>
      <c r="J415">
        <v>1</v>
      </c>
      <c r="K415">
        <v>12</v>
      </c>
      <c r="L415">
        <v>2.96195000913635E-2</v>
      </c>
      <c r="M415" t="s">
        <v>76</v>
      </c>
    </row>
    <row r="416" spans="1:13" x14ac:dyDescent="0.2">
      <c r="A416" t="s">
        <v>71</v>
      </c>
      <c r="B416">
        <v>0.29514435262715399</v>
      </c>
      <c r="C416">
        <v>9.7608648467849002E-2</v>
      </c>
      <c r="D416">
        <v>2.5869122290129401E-2</v>
      </c>
      <c r="E416">
        <v>3.7731720223493102</v>
      </c>
      <c r="F416">
        <v>0.65863263694135699</v>
      </c>
      <c r="G416">
        <v>3.1646670118089103E-2</v>
      </c>
      <c r="H416">
        <v>20.8120675724706</v>
      </c>
      <c r="I416">
        <v>14.2368271102396</v>
      </c>
      <c r="J416">
        <v>1</v>
      </c>
      <c r="K416">
        <v>34</v>
      </c>
      <c r="L416">
        <v>6.1718198163148905E-4</v>
      </c>
      <c r="M416" t="s">
        <v>78</v>
      </c>
    </row>
    <row r="417" spans="1:13" x14ac:dyDescent="0.2">
      <c r="A417" t="s">
        <v>71</v>
      </c>
      <c r="B417">
        <v>0.53686743271962001</v>
      </c>
      <c r="C417">
        <v>2.52781455139344E-2</v>
      </c>
      <c r="D417">
        <v>6.51167421467512E-3</v>
      </c>
      <c r="E417">
        <v>3.8819733114052299</v>
      </c>
      <c r="F417">
        <v>0.62183879274199505</v>
      </c>
      <c r="G417">
        <v>5.8260006355244998E-3</v>
      </c>
      <c r="H417">
        <v>106.73510554569501</v>
      </c>
      <c r="I417">
        <v>15.0697167904623</v>
      </c>
      <c r="J417">
        <v>1</v>
      </c>
      <c r="K417">
        <v>13</v>
      </c>
      <c r="L417">
        <v>1.8895422928496199E-3</v>
      </c>
      <c r="M417" t="s">
        <v>101</v>
      </c>
    </row>
    <row r="418" spans="1:13" x14ac:dyDescent="0.2">
      <c r="A418" t="s">
        <v>71</v>
      </c>
      <c r="B418">
        <v>2.1696347873749102E-3</v>
      </c>
      <c r="C418">
        <v>6.7570898333609002E-3</v>
      </c>
      <c r="D418">
        <v>2.7385187403346702E-2</v>
      </c>
      <c r="E418">
        <v>0.24674250841661599</v>
      </c>
      <c r="F418">
        <v>1.09918279641365</v>
      </c>
      <c r="G418">
        <v>3.3270415889019897E-2</v>
      </c>
      <c r="H418">
        <v>33.037843592944299</v>
      </c>
      <c r="I418">
        <v>6.0881865459719298E-2</v>
      </c>
      <c r="J418">
        <v>1</v>
      </c>
      <c r="K418">
        <v>28</v>
      </c>
      <c r="L418">
        <v>0.80690761083226104</v>
      </c>
      <c r="M418" t="s">
        <v>102</v>
      </c>
    </row>
    <row r="419" spans="1:13" x14ac:dyDescent="0.2">
      <c r="A419" t="s">
        <v>71</v>
      </c>
      <c r="B419">
        <v>0.22732615283024399</v>
      </c>
      <c r="C419">
        <v>-4.8118786810580003E-2</v>
      </c>
      <c r="D419">
        <v>1.0528315725330299E-2</v>
      </c>
      <c r="E419">
        <v>-4.5704163957403097</v>
      </c>
      <c r="F419">
        <v>0.569208355118617</v>
      </c>
      <c r="G419">
        <v>1.5963030920328601E-2</v>
      </c>
      <c r="H419">
        <v>35.657912207245097</v>
      </c>
      <c r="I419">
        <v>20.8887060304519</v>
      </c>
      <c r="J419">
        <v>1</v>
      </c>
      <c r="K419">
        <v>71</v>
      </c>
      <c r="L419" s="1">
        <v>2.0044582648650799E-5</v>
      </c>
      <c r="M419" t="s">
        <v>103</v>
      </c>
    </row>
    <row r="420" spans="1:13" x14ac:dyDescent="0.2">
      <c r="A420" t="s">
        <v>71</v>
      </c>
      <c r="B420">
        <v>1.03865543983744E-2</v>
      </c>
      <c r="C420">
        <v>-4.4622983232092102E-3</v>
      </c>
      <c r="D420">
        <v>6.72095518806279E-3</v>
      </c>
      <c r="E420">
        <v>-0.66393811569146899</v>
      </c>
      <c r="F420">
        <v>0.42172166744304801</v>
      </c>
      <c r="G420">
        <v>8.7440646650625408E-3</v>
      </c>
      <c r="H420">
        <v>48.229477205042102</v>
      </c>
      <c r="I420">
        <v>0.440813821467956</v>
      </c>
      <c r="J420">
        <v>1</v>
      </c>
      <c r="K420">
        <v>42</v>
      </c>
      <c r="L420">
        <v>0.51035843638983303</v>
      </c>
      <c r="M420" t="s">
        <v>104</v>
      </c>
    </row>
    <row r="421" spans="1:13" x14ac:dyDescent="0.2">
      <c r="A421" t="s">
        <v>71</v>
      </c>
      <c r="B421">
        <v>0.23106722502354399</v>
      </c>
      <c r="C421">
        <v>-2.12580861513115E-2</v>
      </c>
      <c r="D421">
        <v>6.1315345397124996E-3</v>
      </c>
      <c r="E421">
        <v>-3.4670091171513202</v>
      </c>
      <c r="F421">
        <v>0.51712174418330203</v>
      </c>
      <c r="G421">
        <v>7.8855894895131801E-3</v>
      </c>
      <c r="H421">
        <v>65.578070589523705</v>
      </c>
      <c r="I421">
        <v>12.0201522184104</v>
      </c>
      <c r="J421">
        <v>1</v>
      </c>
      <c r="K421">
        <v>40</v>
      </c>
      <c r="L421">
        <v>1.2722237579380099E-3</v>
      </c>
      <c r="M421" t="s">
        <v>105</v>
      </c>
    </row>
  </sheetData>
  <autoFilter ref="A1:M422" xr:uid="{41EB350F-4D97-5942-BD42-2059C9B0E78B}"/>
  <sortState xmlns:xlrd2="http://schemas.microsoft.com/office/spreadsheetml/2017/richdata2" ref="A8:M421">
    <sortCondition ref="A2:A42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FED7-BB09-C24E-A326-9A90E40C5125}">
  <dimension ref="A1:P61"/>
  <sheetViews>
    <sheetView tabSelected="1" workbookViewId="0"/>
  </sheetViews>
  <sheetFormatPr baseColWidth="10" defaultRowHeight="16" x14ac:dyDescent="0.2"/>
  <cols>
    <col min="1" max="1" width="54.6640625" bestFit="1" customWidth="1"/>
  </cols>
  <sheetData>
    <row r="1" spans="1:16" x14ac:dyDescent="0.2">
      <c r="A1" s="2" t="s">
        <v>0</v>
      </c>
      <c r="B1" t="s">
        <v>72</v>
      </c>
      <c r="C1" t="s">
        <v>73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106</v>
      </c>
      <c r="P1" s="2" t="s">
        <v>100</v>
      </c>
    </row>
    <row r="2" spans="1:16" x14ac:dyDescent="0.2">
      <c r="A2" s="2" t="s">
        <v>15</v>
      </c>
      <c r="B2" t="s">
        <v>74</v>
      </c>
      <c r="C2" t="s">
        <v>75</v>
      </c>
      <c r="D2" s="2">
        <v>3.733231E-2</v>
      </c>
      <c r="E2" s="2">
        <v>-9.2616999999999994E-3</v>
      </c>
      <c r="F2" s="2">
        <v>8.0658099999999996E-3</v>
      </c>
      <c r="G2" s="2">
        <v>-1.1482691</v>
      </c>
      <c r="H2" s="2">
        <v>0.49649313</v>
      </c>
      <c r="I2" s="2">
        <v>1.003692E-2</v>
      </c>
      <c r="J2" s="2">
        <v>49.466691699999998</v>
      </c>
      <c r="K2" s="2">
        <v>1.318522</v>
      </c>
      <c r="L2" s="2">
        <v>1</v>
      </c>
      <c r="M2" s="2">
        <v>34</v>
      </c>
      <c r="N2" s="2">
        <v>0.25887246000000003</v>
      </c>
      <c r="O2" s="2" t="b">
        <f>N2&lt;0.01</f>
        <v>0</v>
      </c>
      <c r="P2" s="2" t="s">
        <v>105</v>
      </c>
    </row>
    <row r="3" spans="1:16" x14ac:dyDescent="0.2">
      <c r="A3" s="2" t="s">
        <v>37</v>
      </c>
      <c r="B3" t="s">
        <v>74</v>
      </c>
      <c r="C3" t="s">
        <v>75</v>
      </c>
      <c r="D3" s="2">
        <v>9.5157E-4</v>
      </c>
      <c r="E3" s="2">
        <v>-1.2273E-3</v>
      </c>
      <c r="F3" s="2">
        <v>6.8199999999999997E-3</v>
      </c>
      <c r="G3" s="2">
        <v>-0.17995639999999999</v>
      </c>
      <c r="H3" s="2">
        <v>0.48686022000000001</v>
      </c>
      <c r="I3" s="2">
        <v>8.4302300000000004E-3</v>
      </c>
      <c r="J3" s="2">
        <v>57.751744500000001</v>
      </c>
      <c r="K3" s="2">
        <v>3.2384290000000003E-2</v>
      </c>
      <c r="L3" s="2">
        <v>1</v>
      </c>
      <c r="M3" s="2">
        <v>34</v>
      </c>
      <c r="N3" s="2">
        <v>0.85825510999999999</v>
      </c>
      <c r="O3" s="2" t="b">
        <f t="shared" ref="O3:O61" si="0">N3&lt;0.01</f>
        <v>0</v>
      </c>
      <c r="P3" s="2" t="s">
        <v>105</v>
      </c>
    </row>
    <row r="4" spans="1:16" x14ac:dyDescent="0.2">
      <c r="A4" s="2" t="s">
        <v>39</v>
      </c>
      <c r="B4" t="s">
        <v>74</v>
      </c>
      <c r="C4" t="s">
        <v>75</v>
      </c>
      <c r="D4" s="2">
        <v>3.5415990000000001E-2</v>
      </c>
      <c r="E4" s="2">
        <v>7.3951199999999998E-3</v>
      </c>
      <c r="F4" s="2">
        <v>6.9316200000000003E-3</v>
      </c>
      <c r="G4" s="2">
        <v>1.0668674899999999</v>
      </c>
      <c r="H4" s="2">
        <v>0.47615664000000002</v>
      </c>
      <c r="I4" s="2">
        <v>8.3391899999999998E-3</v>
      </c>
      <c r="J4" s="2">
        <v>57.098641299999997</v>
      </c>
      <c r="K4" s="2">
        <v>1.1382062399999999</v>
      </c>
      <c r="L4" s="2">
        <v>1</v>
      </c>
      <c r="M4" s="2">
        <v>31</v>
      </c>
      <c r="N4" s="2">
        <v>0.29427020999999998</v>
      </c>
      <c r="O4" s="2" t="b">
        <f t="shared" si="0"/>
        <v>0</v>
      </c>
      <c r="P4" s="2" t="s">
        <v>105</v>
      </c>
    </row>
    <row r="5" spans="1:16" x14ac:dyDescent="0.2">
      <c r="A5" s="2" t="s">
        <v>45</v>
      </c>
      <c r="B5" t="s">
        <v>74</v>
      </c>
      <c r="C5" t="s">
        <v>75</v>
      </c>
      <c r="D5" s="2">
        <v>4.9492399999999999E-2</v>
      </c>
      <c r="E5" s="2">
        <v>-7.9544000000000004E-3</v>
      </c>
      <c r="F5" s="2">
        <v>6.3643500000000004E-3</v>
      </c>
      <c r="G5" s="2">
        <v>-1.2498332999999999</v>
      </c>
      <c r="H5" s="2">
        <v>0.49441554999999998</v>
      </c>
      <c r="I5" s="2">
        <v>7.6981200000000001E-3</v>
      </c>
      <c r="J5" s="2">
        <v>64.225523600000002</v>
      </c>
      <c r="K5" s="2">
        <v>1.5620833199999999</v>
      </c>
      <c r="L5" s="2">
        <v>1</v>
      </c>
      <c r="M5" s="2">
        <v>30</v>
      </c>
      <c r="N5" s="2">
        <v>0.22102306999999999</v>
      </c>
      <c r="O5" s="2" t="b">
        <f t="shared" si="0"/>
        <v>0</v>
      </c>
      <c r="P5" s="2" t="s">
        <v>105</v>
      </c>
    </row>
    <row r="6" spans="1:16" x14ac:dyDescent="0.2">
      <c r="A6" s="2" t="s">
        <v>46</v>
      </c>
      <c r="B6" t="s">
        <v>74</v>
      </c>
      <c r="C6" t="s">
        <v>75</v>
      </c>
      <c r="D6" s="2">
        <v>3.7973400000000002E-3</v>
      </c>
      <c r="E6" s="2">
        <v>-2.4031999999999999E-3</v>
      </c>
      <c r="F6" s="2">
        <v>6.6753999999999997E-3</v>
      </c>
      <c r="G6" s="2">
        <v>-0.3600023</v>
      </c>
      <c r="H6" s="2">
        <v>0.48830093000000002</v>
      </c>
      <c r="I6" s="2">
        <v>8.1996199999999995E-3</v>
      </c>
      <c r="J6" s="2">
        <v>59.551652300000001</v>
      </c>
      <c r="K6" s="2">
        <v>0.12960166000000001</v>
      </c>
      <c r="L6" s="2">
        <v>1</v>
      </c>
      <c r="M6" s="2">
        <v>34</v>
      </c>
      <c r="N6" s="2">
        <v>0.72107211000000004</v>
      </c>
      <c r="O6" s="2" t="b">
        <f t="shared" si="0"/>
        <v>0</v>
      </c>
      <c r="P6" s="2" t="s">
        <v>105</v>
      </c>
    </row>
    <row r="7" spans="1:16" x14ac:dyDescent="0.2">
      <c r="A7" s="2" t="s">
        <v>49</v>
      </c>
      <c r="B7" t="s">
        <v>74</v>
      </c>
      <c r="C7" t="s">
        <v>75</v>
      </c>
      <c r="D7" s="2">
        <v>3.0699999999999998E-4</v>
      </c>
      <c r="E7" s="2">
        <v>-6.4479999999999995E-4</v>
      </c>
      <c r="F7" s="2">
        <v>6.2192999999999997E-3</v>
      </c>
      <c r="G7" s="2">
        <v>-0.10367469999999999</v>
      </c>
      <c r="H7" s="2">
        <v>0.48497030000000002</v>
      </c>
      <c r="I7" s="2">
        <v>7.7246399999999996E-3</v>
      </c>
      <c r="J7" s="2">
        <v>62.782234299999999</v>
      </c>
      <c r="K7" s="2">
        <v>1.074844E-2</v>
      </c>
      <c r="L7" s="2">
        <v>1</v>
      </c>
      <c r="M7" s="2">
        <v>35</v>
      </c>
      <c r="N7" s="2">
        <v>0.91801931999999997</v>
      </c>
      <c r="O7" s="2" t="b">
        <f t="shared" si="0"/>
        <v>0</v>
      </c>
      <c r="P7" s="2" t="s">
        <v>105</v>
      </c>
    </row>
    <row r="8" spans="1:16" x14ac:dyDescent="0.2">
      <c r="A8" s="2" t="s">
        <v>58</v>
      </c>
      <c r="B8" t="s">
        <v>74</v>
      </c>
      <c r="C8" t="s">
        <v>75</v>
      </c>
      <c r="D8" s="2">
        <v>1.2872450000000001E-2</v>
      </c>
      <c r="E8" s="2">
        <v>-5.4530000000000004E-3</v>
      </c>
      <c r="F8" s="2">
        <v>8.0715500000000003E-3</v>
      </c>
      <c r="G8" s="2">
        <v>-0.67558200000000002</v>
      </c>
      <c r="H8" s="2">
        <v>0.49184262000000001</v>
      </c>
      <c r="I8" s="2">
        <v>1.011253E-2</v>
      </c>
      <c r="J8" s="2">
        <v>48.636954000000003</v>
      </c>
      <c r="K8" s="2">
        <v>0.45641103</v>
      </c>
      <c r="L8" s="2">
        <v>1</v>
      </c>
      <c r="M8" s="2">
        <v>35</v>
      </c>
      <c r="N8" s="2">
        <v>0.50374556000000004</v>
      </c>
      <c r="O8" s="2" t="b">
        <f t="shared" si="0"/>
        <v>0</v>
      </c>
      <c r="P8" s="2" t="s">
        <v>105</v>
      </c>
    </row>
    <row r="9" spans="1:16" x14ac:dyDescent="0.2">
      <c r="A9" s="2" t="s">
        <v>62</v>
      </c>
      <c r="B9" t="s">
        <v>74</v>
      </c>
      <c r="C9" t="s">
        <v>75</v>
      </c>
      <c r="D9" s="2">
        <v>3.8073099999999999E-3</v>
      </c>
      <c r="E9" s="2">
        <v>-2.3096000000000002E-3</v>
      </c>
      <c r="F9" s="2">
        <v>6.7098399999999999E-3</v>
      </c>
      <c r="G9" s="2">
        <v>-0.3442057</v>
      </c>
      <c r="H9" s="2">
        <v>0.48684219000000001</v>
      </c>
      <c r="I9" s="2">
        <v>8.1211300000000007E-3</v>
      </c>
      <c r="J9" s="2">
        <v>59.947609100000001</v>
      </c>
      <c r="K9" s="2">
        <v>0.11847757</v>
      </c>
      <c r="L9" s="2">
        <v>1</v>
      </c>
      <c r="M9" s="2">
        <v>31</v>
      </c>
      <c r="N9" s="2">
        <v>0.73301563000000003</v>
      </c>
      <c r="O9" s="2" t="b">
        <f t="shared" si="0"/>
        <v>0</v>
      </c>
      <c r="P9" s="2" t="s">
        <v>105</v>
      </c>
    </row>
    <row r="10" spans="1:16" x14ac:dyDescent="0.2">
      <c r="A10" s="2" t="s">
        <v>65</v>
      </c>
      <c r="B10" t="s">
        <v>74</v>
      </c>
      <c r="C10" t="s">
        <v>75</v>
      </c>
      <c r="D10" s="2">
        <v>1.34793E-3</v>
      </c>
      <c r="E10" s="2">
        <v>-1.4335000000000001E-3</v>
      </c>
      <c r="F10" s="2">
        <v>7.1236399999999997E-3</v>
      </c>
      <c r="G10" s="2">
        <v>-0.2012274</v>
      </c>
      <c r="H10" s="2">
        <v>0.48681661999999998</v>
      </c>
      <c r="I10" s="2">
        <v>8.5258299999999999E-3</v>
      </c>
      <c r="J10" s="2">
        <v>57.099025300000001</v>
      </c>
      <c r="K10" s="2">
        <v>4.0492479999999997E-2</v>
      </c>
      <c r="L10" s="2">
        <v>1</v>
      </c>
      <c r="M10" s="2">
        <v>30</v>
      </c>
      <c r="N10" s="2">
        <v>0.84187889999999999</v>
      </c>
      <c r="O10" s="2" t="b">
        <f t="shared" si="0"/>
        <v>0</v>
      </c>
      <c r="P10" s="2" t="s">
        <v>105</v>
      </c>
    </row>
    <row r="11" spans="1:16" x14ac:dyDescent="0.2">
      <c r="A11" s="2" t="s">
        <v>66</v>
      </c>
      <c r="B11" t="s">
        <v>74</v>
      </c>
      <c r="C11" t="s">
        <v>75</v>
      </c>
      <c r="D11" s="2">
        <v>3.7477610000000001E-2</v>
      </c>
      <c r="E11" s="2">
        <v>6.5431899999999999E-3</v>
      </c>
      <c r="F11" s="2">
        <v>5.6868200000000004E-3</v>
      </c>
      <c r="G11" s="2">
        <v>1.15058839</v>
      </c>
      <c r="H11" s="2">
        <v>0.47635165000000002</v>
      </c>
      <c r="I11" s="2">
        <v>7.0710699999999996E-3</v>
      </c>
      <c r="J11" s="2">
        <v>67.366237699999999</v>
      </c>
      <c r="K11" s="2">
        <v>1.3238536400000001</v>
      </c>
      <c r="L11" s="2">
        <v>1</v>
      </c>
      <c r="M11" s="2">
        <v>34</v>
      </c>
      <c r="N11" s="2">
        <v>0.25792978999999999</v>
      </c>
      <c r="O11" s="2" t="b">
        <f t="shared" si="0"/>
        <v>0</v>
      </c>
      <c r="P11" s="2" t="s">
        <v>105</v>
      </c>
    </row>
    <row r="12" spans="1:16" x14ac:dyDescent="0.2">
      <c r="A12" s="2" t="s">
        <v>12</v>
      </c>
      <c r="B12" t="s">
        <v>76</v>
      </c>
      <c r="C12" t="s">
        <v>77</v>
      </c>
      <c r="D12" s="2">
        <v>2.768578E-2</v>
      </c>
      <c r="E12" s="2">
        <v>5.8866700000000001E-3</v>
      </c>
      <c r="F12" s="2">
        <v>5.7351399999999997E-3</v>
      </c>
      <c r="G12" s="2">
        <v>1.02642202</v>
      </c>
      <c r="H12" s="2">
        <v>0.47874181999999998</v>
      </c>
      <c r="I12" s="2">
        <v>7.3164299999999996E-3</v>
      </c>
      <c r="J12" s="2">
        <v>65.433827100000002</v>
      </c>
      <c r="K12" s="2">
        <v>1.0535421700000001</v>
      </c>
      <c r="L12" s="2">
        <v>1</v>
      </c>
      <c r="M12" s="2">
        <v>37</v>
      </c>
      <c r="N12" s="2">
        <v>0.31135658999999999</v>
      </c>
      <c r="O12" s="2" t="b">
        <f t="shared" si="0"/>
        <v>0</v>
      </c>
      <c r="P12" s="2" t="s">
        <v>105</v>
      </c>
    </row>
    <row r="13" spans="1:16" x14ac:dyDescent="0.2">
      <c r="A13" s="2" t="s">
        <v>16</v>
      </c>
      <c r="B13" t="s">
        <v>76</v>
      </c>
      <c r="C13" t="s">
        <v>77</v>
      </c>
      <c r="D13" s="3">
        <v>1.5999999999999999E-6</v>
      </c>
      <c r="E13" s="3">
        <v>-4.99E-5</v>
      </c>
      <c r="F13" s="2">
        <v>6.6614300000000003E-3</v>
      </c>
      <c r="G13" s="2">
        <v>-7.4888000000000003E-3</v>
      </c>
      <c r="H13" s="2">
        <v>0.48661098000000003</v>
      </c>
      <c r="I13" s="2">
        <v>8.2310200000000004E-3</v>
      </c>
      <c r="J13" s="2">
        <v>59.119179000000003</v>
      </c>
      <c r="K13" s="3">
        <v>5.6100000000000002E-5</v>
      </c>
      <c r="L13" s="2">
        <v>1</v>
      </c>
      <c r="M13" s="2">
        <v>35</v>
      </c>
      <c r="N13" s="2">
        <v>0.99406737000000001</v>
      </c>
      <c r="O13" s="2" t="b">
        <f t="shared" si="0"/>
        <v>0</v>
      </c>
      <c r="P13" s="2" t="s">
        <v>105</v>
      </c>
    </row>
    <row r="14" spans="1:16" x14ac:dyDescent="0.2">
      <c r="A14" s="2" t="s">
        <v>29</v>
      </c>
      <c r="B14" t="s">
        <v>76</v>
      </c>
      <c r="C14" t="s">
        <v>77</v>
      </c>
      <c r="D14" s="2">
        <v>1.47342E-3</v>
      </c>
      <c r="E14" s="2">
        <v>1.5002100000000001E-3</v>
      </c>
      <c r="F14" s="2">
        <v>6.3354500000000003E-3</v>
      </c>
      <c r="G14" s="2">
        <v>0.23679632</v>
      </c>
      <c r="H14" s="2">
        <v>0.4860642</v>
      </c>
      <c r="I14" s="2">
        <v>8.0922400000000005E-3</v>
      </c>
      <c r="J14" s="2">
        <v>60.065480700000002</v>
      </c>
      <c r="K14" s="2">
        <v>5.6072499999999997E-2</v>
      </c>
      <c r="L14" s="2">
        <v>1</v>
      </c>
      <c r="M14" s="2">
        <v>38</v>
      </c>
      <c r="N14" s="2">
        <v>0.81408670999999999</v>
      </c>
      <c r="O14" s="2" t="b">
        <f t="shared" si="0"/>
        <v>0</v>
      </c>
      <c r="P14" s="2" t="s">
        <v>105</v>
      </c>
    </row>
    <row r="15" spans="1:16" x14ac:dyDescent="0.2">
      <c r="A15" s="2" t="s">
        <v>34</v>
      </c>
      <c r="B15" t="s">
        <v>76</v>
      </c>
      <c r="C15" t="s">
        <v>77</v>
      </c>
      <c r="D15" s="2">
        <v>3.74392E-3</v>
      </c>
      <c r="E15" s="2">
        <v>-1.8994000000000001E-3</v>
      </c>
      <c r="F15" s="2">
        <v>5.4772600000000003E-3</v>
      </c>
      <c r="G15" s="2">
        <v>-0.3467789</v>
      </c>
      <c r="H15" s="2">
        <v>0.48776562000000001</v>
      </c>
      <c r="I15" s="2">
        <v>6.7616000000000004E-3</v>
      </c>
      <c r="J15" s="2">
        <v>72.137553199999999</v>
      </c>
      <c r="K15" s="2">
        <v>0.12025558</v>
      </c>
      <c r="L15" s="2">
        <v>1</v>
      </c>
      <c r="M15" s="2">
        <v>32</v>
      </c>
      <c r="N15" s="2">
        <v>0.73102761999999999</v>
      </c>
      <c r="O15" s="2" t="b">
        <f t="shared" si="0"/>
        <v>0</v>
      </c>
      <c r="P15" s="2" t="s">
        <v>105</v>
      </c>
    </row>
    <row r="16" spans="1:16" x14ac:dyDescent="0.2">
      <c r="A16" s="2" t="s">
        <v>42</v>
      </c>
      <c r="B16" t="s">
        <v>76</v>
      </c>
      <c r="C16" t="s">
        <v>77</v>
      </c>
      <c r="D16" s="2">
        <v>1.5764739999999999E-2</v>
      </c>
      <c r="E16" s="2">
        <v>5.9617100000000003E-3</v>
      </c>
      <c r="F16" s="2">
        <v>8.0786299999999998E-3</v>
      </c>
      <c r="G16" s="2">
        <v>0.73796094999999995</v>
      </c>
      <c r="H16" s="2">
        <v>0.47898097000000001</v>
      </c>
      <c r="I16" s="2">
        <v>1.0070279999999999E-2</v>
      </c>
      <c r="J16" s="2">
        <v>47.5638085</v>
      </c>
      <c r="K16" s="2">
        <v>0.54458636000000005</v>
      </c>
      <c r="L16" s="2">
        <v>1</v>
      </c>
      <c r="M16" s="2">
        <v>34</v>
      </c>
      <c r="N16" s="2">
        <v>0.46560142999999998</v>
      </c>
      <c r="O16" s="2" t="b">
        <f t="shared" si="0"/>
        <v>0</v>
      </c>
      <c r="P16" s="2" t="s">
        <v>105</v>
      </c>
    </row>
    <row r="17" spans="1:16" x14ac:dyDescent="0.2">
      <c r="A17" s="2" t="s">
        <v>52</v>
      </c>
      <c r="B17" t="s">
        <v>76</v>
      </c>
      <c r="C17" t="s">
        <v>77</v>
      </c>
      <c r="D17" s="2">
        <v>4.9113660000000003E-2</v>
      </c>
      <c r="E17" s="2">
        <v>1.130537E-2</v>
      </c>
      <c r="F17" s="2">
        <v>7.9655500000000001E-3</v>
      </c>
      <c r="G17" s="2">
        <v>1.41928345</v>
      </c>
      <c r="H17" s="2">
        <v>0.47113194000000003</v>
      </c>
      <c r="I17" s="2">
        <v>1.014079E-2</v>
      </c>
      <c r="J17" s="2">
        <v>46.459102899999998</v>
      </c>
      <c r="K17" s="2">
        <v>2.0143655100000002</v>
      </c>
      <c r="L17" s="2">
        <v>1</v>
      </c>
      <c r="M17" s="2">
        <v>39</v>
      </c>
      <c r="N17" s="2">
        <v>0.16376004</v>
      </c>
      <c r="O17" s="2" t="b">
        <f t="shared" si="0"/>
        <v>0</v>
      </c>
      <c r="P17" s="2" t="s">
        <v>105</v>
      </c>
    </row>
    <row r="18" spans="1:16" x14ac:dyDescent="0.2">
      <c r="A18" s="2" t="s">
        <v>54</v>
      </c>
      <c r="B18" t="s">
        <v>76</v>
      </c>
      <c r="C18" t="s">
        <v>77</v>
      </c>
      <c r="D18" s="2">
        <v>2.7687260000000002E-2</v>
      </c>
      <c r="E18" s="2">
        <v>-5.0857000000000003E-3</v>
      </c>
      <c r="F18" s="2">
        <v>5.1685799999999999E-3</v>
      </c>
      <c r="G18" s="2">
        <v>-0.98395779999999999</v>
      </c>
      <c r="H18" s="2">
        <v>0.49097085000000001</v>
      </c>
      <c r="I18" s="2">
        <v>6.4501200000000002E-3</v>
      </c>
      <c r="J18" s="2">
        <v>76.118117600000005</v>
      </c>
      <c r="K18" s="2">
        <v>0.96817286000000002</v>
      </c>
      <c r="L18" s="2">
        <v>1</v>
      </c>
      <c r="M18" s="2">
        <v>34</v>
      </c>
      <c r="N18" s="2">
        <v>0.33208682</v>
      </c>
      <c r="O18" s="2" t="b">
        <f t="shared" si="0"/>
        <v>0</v>
      </c>
      <c r="P18" s="2" t="s">
        <v>105</v>
      </c>
    </row>
    <row r="19" spans="1:16" x14ac:dyDescent="0.2">
      <c r="A19" s="2" t="s">
        <v>59</v>
      </c>
      <c r="B19" t="s">
        <v>76</v>
      </c>
      <c r="C19" t="s">
        <v>77</v>
      </c>
      <c r="D19" s="3">
        <v>7.1400000000000001E-5</v>
      </c>
      <c r="E19" s="2">
        <v>-3.9839999999999998E-4</v>
      </c>
      <c r="F19" s="2">
        <v>8.0870600000000001E-3</v>
      </c>
      <c r="G19" s="2">
        <v>-4.9269399999999998E-2</v>
      </c>
      <c r="H19" s="2">
        <v>0.48727924</v>
      </c>
      <c r="I19" s="2">
        <v>1.0095679999999999E-2</v>
      </c>
      <c r="J19" s="2">
        <v>48.2661035</v>
      </c>
      <c r="K19" s="2">
        <v>2.4274800000000001E-3</v>
      </c>
      <c r="L19" s="2">
        <v>1</v>
      </c>
      <c r="M19" s="2">
        <v>34</v>
      </c>
      <c r="N19" s="2">
        <v>0.96099288000000005</v>
      </c>
      <c r="O19" s="2" t="b">
        <f t="shared" si="0"/>
        <v>0</v>
      </c>
      <c r="P19" s="2" t="s">
        <v>105</v>
      </c>
    </row>
    <row r="20" spans="1:16" x14ac:dyDescent="0.2">
      <c r="A20" s="2" t="s">
        <v>61</v>
      </c>
      <c r="B20" t="s">
        <v>76</v>
      </c>
      <c r="C20" t="s">
        <v>77</v>
      </c>
      <c r="D20" s="2">
        <v>4.3080970000000003E-2</v>
      </c>
      <c r="E20" s="2">
        <v>9.6855099999999996E-3</v>
      </c>
      <c r="F20" s="2">
        <v>7.6079299999999997E-3</v>
      </c>
      <c r="G20" s="2">
        <v>1.273082</v>
      </c>
      <c r="H20" s="2">
        <v>0.47511827000000001</v>
      </c>
      <c r="I20" s="2">
        <v>9.5555799999999993E-3</v>
      </c>
      <c r="J20" s="2">
        <v>49.721572100000003</v>
      </c>
      <c r="K20" s="2">
        <v>1.62073778</v>
      </c>
      <c r="L20" s="2">
        <v>1</v>
      </c>
      <c r="M20" s="2">
        <v>36</v>
      </c>
      <c r="N20" s="2">
        <v>0.21114891</v>
      </c>
      <c r="O20" s="2" t="b">
        <f t="shared" si="0"/>
        <v>0</v>
      </c>
      <c r="P20" s="2" t="s">
        <v>105</v>
      </c>
    </row>
    <row r="21" spans="1:16" x14ac:dyDescent="0.2">
      <c r="A21" s="2" t="s">
        <v>63</v>
      </c>
      <c r="B21" t="s">
        <v>76</v>
      </c>
      <c r="C21" t="s">
        <v>77</v>
      </c>
      <c r="D21" s="2">
        <v>2.5454200000000001E-3</v>
      </c>
      <c r="E21" s="2">
        <v>1.50731E-3</v>
      </c>
      <c r="F21" s="2">
        <v>4.8403600000000001E-3</v>
      </c>
      <c r="G21" s="2">
        <v>0.31140430000000002</v>
      </c>
      <c r="H21" s="2">
        <v>0.48097348000000001</v>
      </c>
      <c r="I21" s="2">
        <v>6.16652E-3</v>
      </c>
      <c r="J21" s="2">
        <v>77.997560199999995</v>
      </c>
      <c r="K21" s="2">
        <v>9.6972639999999999E-2</v>
      </c>
      <c r="L21" s="2">
        <v>1</v>
      </c>
      <c r="M21" s="2">
        <v>38</v>
      </c>
      <c r="N21" s="2">
        <v>0.75719533999999999</v>
      </c>
      <c r="O21" s="2" t="b">
        <f t="shared" si="0"/>
        <v>0</v>
      </c>
      <c r="P21" s="2" t="s">
        <v>105</v>
      </c>
    </row>
    <row r="22" spans="1:16" x14ac:dyDescent="0.2">
      <c r="A22" s="2" t="s">
        <v>67</v>
      </c>
      <c r="B22" t="s">
        <v>76</v>
      </c>
      <c r="C22" t="s">
        <v>77</v>
      </c>
      <c r="D22" s="2">
        <v>3.725875E-2</v>
      </c>
      <c r="E22" s="2">
        <v>-7.0848999999999999E-3</v>
      </c>
      <c r="F22" s="2">
        <v>5.7669399999999999E-3</v>
      </c>
      <c r="G22" s="2">
        <v>-1.2285467000000001</v>
      </c>
      <c r="H22" s="2">
        <v>0.49253608999999998</v>
      </c>
      <c r="I22" s="2">
        <v>7.3883799999999999E-3</v>
      </c>
      <c r="J22" s="2">
        <v>66.6636314</v>
      </c>
      <c r="K22" s="2">
        <v>1.5093269</v>
      </c>
      <c r="L22" s="2">
        <v>1</v>
      </c>
      <c r="M22" s="2">
        <v>39</v>
      </c>
      <c r="N22" s="2">
        <v>0.22660403000000001</v>
      </c>
      <c r="O22" s="2" t="b">
        <f t="shared" si="0"/>
        <v>0</v>
      </c>
      <c r="P22" s="2" t="s">
        <v>105</v>
      </c>
    </row>
    <row r="23" spans="1:16" x14ac:dyDescent="0.2">
      <c r="A23" s="2" t="s">
        <v>17</v>
      </c>
      <c r="B23" t="s">
        <v>78</v>
      </c>
      <c r="C23" t="s">
        <v>79</v>
      </c>
      <c r="D23" s="2">
        <v>4.1997600000000003E-3</v>
      </c>
      <c r="E23" s="2">
        <v>2.4330900000000002E-3</v>
      </c>
      <c r="F23" s="2">
        <v>5.9238099999999998E-3</v>
      </c>
      <c r="G23" s="2">
        <v>0.41072977999999999</v>
      </c>
      <c r="H23" s="2">
        <v>0.48189078000000002</v>
      </c>
      <c r="I23" s="2">
        <v>7.6974399999999998E-3</v>
      </c>
      <c r="J23" s="2">
        <v>62.604055700000004</v>
      </c>
      <c r="K23" s="2">
        <v>0.16869894999999999</v>
      </c>
      <c r="L23" s="2">
        <v>1</v>
      </c>
      <c r="M23" s="2">
        <v>40</v>
      </c>
      <c r="N23" s="2">
        <v>0.68346271999999997</v>
      </c>
      <c r="O23" s="2" t="b">
        <f t="shared" si="0"/>
        <v>0</v>
      </c>
      <c r="P23" s="2" t="s">
        <v>105</v>
      </c>
    </row>
    <row r="24" spans="1:16" x14ac:dyDescent="0.2">
      <c r="A24" s="2" t="s">
        <v>21</v>
      </c>
      <c r="B24" t="s">
        <v>78</v>
      </c>
      <c r="C24" t="s">
        <v>79</v>
      </c>
      <c r="D24" s="2">
        <v>4.7523660000000002E-2</v>
      </c>
      <c r="E24" s="2">
        <v>-1.11868E-2</v>
      </c>
      <c r="F24" s="2">
        <v>8.0194399999999992E-3</v>
      </c>
      <c r="G24" s="2">
        <v>-1.3949549000000001</v>
      </c>
      <c r="H24" s="2">
        <v>0.50263703000000004</v>
      </c>
      <c r="I24" s="2">
        <v>1.037046E-2</v>
      </c>
      <c r="J24" s="2">
        <v>48.468174300000001</v>
      </c>
      <c r="K24" s="2">
        <v>1.94589908</v>
      </c>
      <c r="L24" s="2">
        <v>1</v>
      </c>
      <c r="M24" s="2">
        <v>39</v>
      </c>
      <c r="N24" s="2">
        <v>0.17092378999999999</v>
      </c>
      <c r="O24" s="2" t="b">
        <f t="shared" si="0"/>
        <v>0</v>
      </c>
      <c r="P24" s="2" t="s">
        <v>105</v>
      </c>
    </row>
    <row r="25" spans="1:16" x14ac:dyDescent="0.2">
      <c r="A25" s="2" t="s">
        <v>23</v>
      </c>
      <c r="B25" t="s">
        <v>78</v>
      </c>
      <c r="C25" t="s">
        <v>79</v>
      </c>
      <c r="D25" s="2">
        <v>2.4908779999999998E-2</v>
      </c>
      <c r="E25" s="2">
        <v>-6.4659000000000001E-3</v>
      </c>
      <c r="F25" s="2">
        <v>6.39654E-3</v>
      </c>
      <c r="G25" s="2">
        <v>-1.0108427</v>
      </c>
      <c r="H25" s="2">
        <v>0.49354281999999999</v>
      </c>
      <c r="I25" s="2">
        <v>8.2993100000000007E-3</v>
      </c>
      <c r="J25" s="2">
        <v>59.467948200000002</v>
      </c>
      <c r="K25" s="2">
        <v>1.0218030199999999</v>
      </c>
      <c r="L25" s="2">
        <v>1</v>
      </c>
      <c r="M25" s="2">
        <v>40</v>
      </c>
      <c r="N25" s="2">
        <v>0.31816757000000001</v>
      </c>
      <c r="O25" s="2" t="b">
        <f t="shared" si="0"/>
        <v>0</v>
      </c>
      <c r="P25" s="2" t="s">
        <v>105</v>
      </c>
    </row>
    <row r="26" spans="1:16" x14ac:dyDescent="0.2">
      <c r="A26" s="2" t="s">
        <v>27</v>
      </c>
      <c r="B26" t="s">
        <v>78</v>
      </c>
      <c r="C26" t="s">
        <v>79</v>
      </c>
      <c r="D26" s="2">
        <v>2.04014E-2</v>
      </c>
      <c r="E26" s="2">
        <v>-5.5868000000000003E-3</v>
      </c>
      <c r="F26" s="2">
        <v>6.1211099999999999E-3</v>
      </c>
      <c r="G26" s="2">
        <v>-0.91271639999999998</v>
      </c>
      <c r="H26" s="2">
        <v>0.49284428000000002</v>
      </c>
      <c r="I26" s="2">
        <v>7.9567300000000004E-3</v>
      </c>
      <c r="J26" s="2">
        <v>61.940534300000003</v>
      </c>
      <c r="K26" s="2">
        <v>0.83305127999999995</v>
      </c>
      <c r="L26" s="2">
        <v>1</v>
      </c>
      <c r="M26" s="2">
        <v>40</v>
      </c>
      <c r="N26" s="2">
        <v>0.36686026999999999</v>
      </c>
      <c r="O26" s="2" t="b">
        <f t="shared" si="0"/>
        <v>0</v>
      </c>
      <c r="P26" s="2" t="s">
        <v>105</v>
      </c>
    </row>
    <row r="27" spans="1:16" x14ac:dyDescent="0.2">
      <c r="A27" s="2" t="s">
        <v>33</v>
      </c>
      <c r="B27" t="s">
        <v>78</v>
      </c>
      <c r="C27" t="s">
        <v>79</v>
      </c>
      <c r="D27" s="2">
        <v>4.7606999999999997E-2</v>
      </c>
      <c r="E27" s="2">
        <v>-1.0933200000000001E-2</v>
      </c>
      <c r="F27" s="2">
        <v>7.7319900000000002E-3</v>
      </c>
      <c r="G27" s="2">
        <v>-1.4140258000000001</v>
      </c>
      <c r="H27" s="2">
        <v>0.50262452999999996</v>
      </c>
      <c r="I27" s="2">
        <v>1.005092E-2</v>
      </c>
      <c r="J27" s="2">
        <v>50.007794500000003</v>
      </c>
      <c r="K27" s="2">
        <v>1.99946891</v>
      </c>
      <c r="L27" s="2">
        <v>1</v>
      </c>
      <c r="M27" s="2">
        <v>40</v>
      </c>
      <c r="N27" s="2">
        <v>0.16509082999999999</v>
      </c>
      <c r="O27" s="2" t="b">
        <f t="shared" si="0"/>
        <v>0</v>
      </c>
      <c r="P27" s="2" t="s">
        <v>105</v>
      </c>
    </row>
    <row r="28" spans="1:16" x14ac:dyDescent="0.2">
      <c r="A28" s="2" t="s">
        <v>40</v>
      </c>
      <c r="B28" t="s">
        <v>78</v>
      </c>
      <c r="C28" t="s">
        <v>79</v>
      </c>
      <c r="D28" s="2">
        <v>1.1586900000000001E-2</v>
      </c>
      <c r="E28" s="2">
        <v>-4.3699999999999998E-3</v>
      </c>
      <c r="F28" s="2">
        <v>6.30336E-3</v>
      </c>
      <c r="G28" s="2">
        <v>-0.69327609999999995</v>
      </c>
      <c r="H28" s="2">
        <v>0.49291533999999998</v>
      </c>
      <c r="I28" s="2">
        <v>8.2423300000000008E-3</v>
      </c>
      <c r="J28" s="2">
        <v>59.802948399999998</v>
      </c>
      <c r="K28" s="2">
        <v>0.48063173999999997</v>
      </c>
      <c r="L28" s="2">
        <v>1</v>
      </c>
      <c r="M28" s="2">
        <v>41</v>
      </c>
      <c r="N28" s="2">
        <v>0.49204523999999999</v>
      </c>
      <c r="O28" s="2" t="b">
        <f t="shared" si="0"/>
        <v>0</v>
      </c>
      <c r="P28" s="2" t="s">
        <v>105</v>
      </c>
    </row>
    <row r="29" spans="1:16" x14ac:dyDescent="0.2">
      <c r="A29" s="2" t="s">
        <v>41</v>
      </c>
      <c r="B29" t="s">
        <v>78</v>
      </c>
      <c r="C29" t="s">
        <v>79</v>
      </c>
      <c r="D29" s="2">
        <v>0.10918721000000001</v>
      </c>
      <c r="E29" s="2">
        <v>-1.39255E-2</v>
      </c>
      <c r="F29" s="2">
        <v>6.2890899999999998E-3</v>
      </c>
      <c r="G29" s="2">
        <v>-2.2142297000000002</v>
      </c>
      <c r="H29" s="2">
        <v>0.50573502000000004</v>
      </c>
      <c r="I29" s="2">
        <v>8.1469699999999999E-3</v>
      </c>
      <c r="J29" s="2">
        <v>62.076420599999999</v>
      </c>
      <c r="K29" s="2">
        <v>4.90281301</v>
      </c>
      <c r="L29" s="2">
        <v>1</v>
      </c>
      <c r="M29" s="2">
        <v>40</v>
      </c>
      <c r="N29" s="2">
        <v>3.25755E-2</v>
      </c>
      <c r="O29" s="2" t="b">
        <f>N29&lt;0.01</f>
        <v>0</v>
      </c>
      <c r="P29" s="2" t="s">
        <v>105</v>
      </c>
    </row>
    <row r="30" spans="1:16" x14ac:dyDescent="0.2">
      <c r="A30" s="2" t="s">
        <v>50</v>
      </c>
      <c r="B30" t="s">
        <v>78</v>
      </c>
      <c r="C30" t="s">
        <v>79</v>
      </c>
      <c r="D30" s="2">
        <v>7.2938740000000002E-2</v>
      </c>
      <c r="E30" s="2">
        <v>-9.2060000000000006E-3</v>
      </c>
      <c r="F30" s="2">
        <v>5.2554999999999998E-3</v>
      </c>
      <c r="G30" s="2">
        <v>-1.7516898000000001</v>
      </c>
      <c r="H30" s="2">
        <v>0.49794156000000001</v>
      </c>
      <c r="I30" s="2">
        <v>6.7558000000000002E-3</v>
      </c>
      <c r="J30" s="2">
        <v>73.705756100000002</v>
      </c>
      <c r="K30" s="2">
        <v>3.0684173000000001</v>
      </c>
      <c r="L30" s="2">
        <v>1</v>
      </c>
      <c r="M30" s="2">
        <v>39</v>
      </c>
      <c r="N30" s="2">
        <v>8.7688370000000002E-2</v>
      </c>
      <c r="O30" s="2" t="b">
        <f t="shared" si="0"/>
        <v>0</v>
      </c>
      <c r="P30" s="2" t="s">
        <v>105</v>
      </c>
    </row>
    <row r="31" spans="1:16" x14ac:dyDescent="0.2">
      <c r="A31" s="2" t="s">
        <v>56</v>
      </c>
      <c r="B31" t="s">
        <v>78</v>
      </c>
      <c r="C31" t="s">
        <v>79</v>
      </c>
      <c r="D31" s="2">
        <v>2.1938650000000001E-2</v>
      </c>
      <c r="E31" s="2">
        <v>-5.5760000000000002E-3</v>
      </c>
      <c r="F31" s="2">
        <v>5.88669E-3</v>
      </c>
      <c r="G31" s="2">
        <v>-0.94722229999999996</v>
      </c>
      <c r="H31" s="2">
        <v>0.49402265000000001</v>
      </c>
      <c r="I31" s="2">
        <v>7.6552199999999999E-3</v>
      </c>
      <c r="J31" s="2">
        <v>64.534123600000001</v>
      </c>
      <c r="K31" s="2">
        <v>0.89723017999999999</v>
      </c>
      <c r="L31" s="2">
        <v>1</v>
      </c>
      <c r="M31" s="2">
        <v>40</v>
      </c>
      <c r="N31" s="2">
        <v>0.34921307000000001</v>
      </c>
      <c r="O31" s="2" t="b">
        <f t="shared" si="0"/>
        <v>0</v>
      </c>
      <c r="P31" s="2" t="s">
        <v>105</v>
      </c>
    </row>
    <row r="32" spans="1:16" x14ac:dyDescent="0.2">
      <c r="A32" s="2" t="s">
        <v>64</v>
      </c>
      <c r="B32" t="s">
        <v>78</v>
      </c>
      <c r="C32" t="s">
        <v>79</v>
      </c>
      <c r="D32" s="2">
        <v>3.7703590000000002E-2</v>
      </c>
      <c r="E32" s="2">
        <v>-9.3637000000000008E-3</v>
      </c>
      <c r="F32" s="2">
        <v>7.2994000000000002E-3</v>
      </c>
      <c r="G32" s="2">
        <v>-1.2828078000000001</v>
      </c>
      <c r="H32" s="2">
        <v>0.49916582999999998</v>
      </c>
      <c r="I32" s="2">
        <v>9.5593599999999994E-3</v>
      </c>
      <c r="J32" s="2">
        <v>52.217481900000003</v>
      </c>
      <c r="K32" s="2">
        <v>1.64559587</v>
      </c>
      <c r="L32" s="2">
        <v>1</v>
      </c>
      <c r="M32" s="2">
        <v>42</v>
      </c>
      <c r="N32" s="2">
        <v>0.20659374999999999</v>
      </c>
      <c r="O32" s="2" t="b">
        <f t="shared" si="0"/>
        <v>0</v>
      </c>
      <c r="P32" s="2" t="s">
        <v>105</v>
      </c>
    </row>
    <row r="33" spans="1:16" s="7" customFormat="1" x14ac:dyDescent="0.2">
      <c r="A33" s="8" t="s">
        <v>13</v>
      </c>
      <c r="B33" s="7" t="s">
        <v>78</v>
      </c>
      <c r="C33" s="7" t="s">
        <v>80</v>
      </c>
      <c r="D33" s="8">
        <v>0.17298089</v>
      </c>
      <c r="E33" s="8">
        <v>-1.8275199999999998E-2</v>
      </c>
      <c r="F33" s="8">
        <v>6.3181699999999997E-3</v>
      </c>
      <c r="G33" s="8">
        <v>-2.8924861000000002</v>
      </c>
      <c r="H33" s="8">
        <v>0.51331791000000004</v>
      </c>
      <c r="I33" s="8">
        <v>8.1639199999999999E-3</v>
      </c>
      <c r="J33" s="8">
        <v>62.876391499999997</v>
      </c>
      <c r="K33" s="8">
        <v>8.3664759100000001</v>
      </c>
      <c r="L33" s="8">
        <v>1</v>
      </c>
      <c r="M33" s="8">
        <v>40</v>
      </c>
      <c r="N33" s="8">
        <v>6.1554000000000001E-3</v>
      </c>
      <c r="O33" s="8" t="b">
        <f t="shared" si="0"/>
        <v>1</v>
      </c>
      <c r="P33" s="8" t="s">
        <v>105</v>
      </c>
    </row>
    <row r="34" spans="1:16" s="7" customFormat="1" x14ac:dyDescent="0.2">
      <c r="A34" s="8" t="s">
        <v>20</v>
      </c>
      <c r="B34" s="7" t="s">
        <v>78</v>
      </c>
      <c r="C34" s="7" t="s">
        <v>80</v>
      </c>
      <c r="D34" s="8">
        <v>0.27715910999999999</v>
      </c>
      <c r="E34" s="8">
        <v>-2.4743500000000002E-2</v>
      </c>
      <c r="F34" s="8">
        <v>6.31812E-3</v>
      </c>
      <c r="G34" s="8">
        <v>-3.9162753000000001</v>
      </c>
      <c r="H34" s="8">
        <v>0.52114967999999995</v>
      </c>
      <c r="I34" s="8">
        <v>8.1244999999999998E-3</v>
      </c>
      <c r="J34" s="8">
        <v>64.1454351</v>
      </c>
      <c r="K34" s="8">
        <v>15.3372125</v>
      </c>
      <c r="L34" s="8">
        <v>1</v>
      </c>
      <c r="M34" s="8">
        <v>40</v>
      </c>
      <c r="N34" s="8">
        <v>3.4188000000000003E-4</v>
      </c>
      <c r="O34" s="8" t="b">
        <f t="shared" si="0"/>
        <v>1</v>
      </c>
      <c r="P34" s="8" t="s">
        <v>105</v>
      </c>
    </row>
    <row r="35" spans="1:16" s="7" customFormat="1" x14ac:dyDescent="0.2">
      <c r="A35" s="8" t="s">
        <v>26</v>
      </c>
      <c r="B35" s="7" t="s">
        <v>78</v>
      </c>
      <c r="C35" s="7" t="s">
        <v>80</v>
      </c>
      <c r="D35" s="8">
        <v>0.19349136</v>
      </c>
      <c r="E35" s="8">
        <v>-1.7655899999999999E-2</v>
      </c>
      <c r="F35" s="8">
        <v>5.6994599999999999E-3</v>
      </c>
      <c r="G35" s="8">
        <v>-3.0978205999999999</v>
      </c>
      <c r="H35" s="8">
        <v>0.51182572999999998</v>
      </c>
      <c r="I35" s="8">
        <v>7.3249400000000003E-3</v>
      </c>
      <c r="J35" s="8">
        <v>69.874419599999996</v>
      </c>
      <c r="K35" s="8">
        <v>9.5964926500000001</v>
      </c>
      <c r="L35" s="8">
        <v>1</v>
      </c>
      <c r="M35" s="8">
        <v>40</v>
      </c>
      <c r="N35" s="8">
        <v>3.5578900000000002E-3</v>
      </c>
      <c r="O35" s="8" t="b">
        <f t="shared" si="0"/>
        <v>1</v>
      </c>
      <c r="P35" s="8" t="s">
        <v>105</v>
      </c>
    </row>
    <row r="36" spans="1:16" s="7" customFormat="1" x14ac:dyDescent="0.2">
      <c r="A36" s="8" t="s">
        <v>30</v>
      </c>
      <c r="B36" s="7" t="s">
        <v>78</v>
      </c>
      <c r="C36" s="7" t="s">
        <v>80</v>
      </c>
      <c r="D36" s="8">
        <v>0.39430061999999999</v>
      </c>
      <c r="E36" s="8">
        <v>-4.5153499999999999E-2</v>
      </c>
      <c r="F36" s="8">
        <v>8.8486399999999996E-3</v>
      </c>
      <c r="G36" s="8">
        <v>-5.1028777999999999</v>
      </c>
      <c r="H36" s="8">
        <v>0.54896173999999998</v>
      </c>
      <c r="I36" s="8">
        <v>1.136056E-2</v>
      </c>
      <c r="J36" s="8">
        <v>48.321703800000002</v>
      </c>
      <c r="K36" s="8">
        <v>26.039361499999998</v>
      </c>
      <c r="L36" s="8">
        <v>1</v>
      </c>
      <c r="M36" s="8">
        <v>40</v>
      </c>
      <c r="N36" s="9">
        <v>8.5299999999999996E-6</v>
      </c>
      <c r="O36" s="8" t="b">
        <f t="shared" si="0"/>
        <v>1</v>
      </c>
      <c r="P36" s="8" t="s">
        <v>105</v>
      </c>
    </row>
    <row r="37" spans="1:16" s="7" customFormat="1" x14ac:dyDescent="0.2">
      <c r="A37" s="8" t="s">
        <v>31</v>
      </c>
      <c r="B37" s="7" t="s">
        <v>78</v>
      </c>
      <c r="C37" s="7" t="s">
        <v>80</v>
      </c>
      <c r="D37" s="8">
        <v>0.30145168</v>
      </c>
      <c r="E37" s="8">
        <v>-2.43535E-2</v>
      </c>
      <c r="F37" s="8">
        <v>5.8616700000000002E-3</v>
      </c>
      <c r="G37" s="8">
        <v>-4.1547090999999998</v>
      </c>
      <c r="H37" s="8">
        <v>0.52158724999999995</v>
      </c>
      <c r="I37" s="8">
        <v>7.5919500000000001E-3</v>
      </c>
      <c r="J37" s="8">
        <v>68.7026465</v>
      </c>
      <c r="K37" s="8">
        <v>17.261607900000001</v>
      </c>
      <c r="L37" s="8">
        <v>1</v>
      </c>
      <c r="M37" s="8">
        <v>40</v>
      </c>
      <c r="N37" s="8">
        <v>1.6637999999999999E-4</v>
      </c>
      <c r="O37" s="8" t="b">
        <f t="shared" si="0"/>
        <v>1</v>
      </c>
      <c r="P37" s="8" t="s">
        <v>105</v>
      </c>
    </row>
    <row r="38" spans="1:16" s="7" customFormat="1" x14ac:dyDescent="0.2">
      <c r="A38" s="8" t="s">
        <v>35</v>
      </c>
      <c r="B38" s="7" t="s">
        <v>78</v>
      </c>
      <c r="C38" s="7" t="s">
        <v>80</v>
      </c>
      <c r="D38" s="8">
        <v>0.23100603</v>
      </c>
      <c r="E38" s="8">
        <v>-2.07975E-2</v>
      </c>
      <c r="F38" s="8">
        <v>5.9997100000000001E-3</v>
      </c>
      <c r="G38" s="8">
        <v>-3.4664120999999999</v>
      </c>
      <c r="H38" s="8">
        <v>0.51645041999999997</v>
      </c>
      <c r="I38" s="8">
        <v>7.6972300000000002E-3</v>
      </c>
      <c r="J38" s="8">
        <v>67.095585</v>
      </c>
      <c r="K38" s="8">
        <v>12.0160129</v>
      </c>
      <c r="L38" s="8">
        <v>1</v>
      </c>
      <c r="M38" s="8">
        <v>40</v>
      </c>
      <c r="N38" s="8">
        <v>1.27439E-3</v>
      </c>
      <c r="O38" s="8" t="b">
        <f t="shared" si="0"/>
        <v>1</v>
      </c>
      <c r="P38" s="8" t="s">
        <v>105</v>
      </c>
    </row>
    <row r="39" spans="1:16" s="7" customFormat="1" x14ac:dyDescent="0.2">
      <c r="A39" s="8" t="s">
        <v>38</v>
      </c>
      <c r="B39" s="7" t="s">
        <v>78</v>
      </c>
      <c r="C39" s="7" t="s">
        <v>80</v>
      </c>
      <c r="D39" s="8">
        <v>0.35010871999999998</v>
      </c>
      <c r="E39" s="8">
        <v>-3.87739E-2</v>
      </c>
      <c r="F39" s="8">
        <v>8.1514399999999994E-3</v>
      </c>
      <c r="G39" s="8">
        <v>-4.7566999000000001</v>
      </c>
      <c r="H39" s="8">
        <v>0.53982651999999998</v>
      </c>
      <c r="I39" s="8">
        <v>1.0611539999999999E-2</v>
      </c>
      <c r="J39" s="8">
        <v>50.871645700000002</v>
      </c>
      <c r="K39" s="8">
        <v>22.6261942</v>
      </c>
      <c r="L39" s="8">
        <v>1</v>
      </c>
      <c r="M39" s="8">
        <v>42</v>
      </c>
      <c r="N39" s="9">
        <v>2.34E-5</v>
      </c>
      <c r="O39" s="8" t="b">
        <f t="shared" si="0"/>
        <v>1</v>
      </c>
      <c r="P39" s="8" t="s">
        <v>105</v>
      </c>
    </row>
    <row r="40" spans="1:16" s="7" customFormat="1" x14ac:dyDescent="0.2">
      <c r="A40" s="8" t="s">
        <v>43</v>
      </c>
      <c r="B40" s="7" t="s">
        <v>78</v>
      </c>
      <c r="C40" s="7" t="s">
        <v>80</v>
      </c>
      <c r="D40" s="8">
        <v>0.34730241000000001</v>
      </c>
      <c r="E40" s="8">
        <v>-2.8343299999999998E-2</v>
      </c>
      <c r="F40" s="8">
        <v>5.9955399999999997E-3</v>
      </c>
      <c r="G40" s="8">
        <v>-4.7274020999999999</v>
      </c>
      <c r="H40" s="8">
        <v>0.52616651000000003</v>
      </c>
      <c r="I40" s="8">
        <v>7.8293300000000007E-3</v>
      </c>
      <c r="J40" s="8">
        <v>67.204569199999995</v>
      </c>
      <c r="K40" s="8">
        <v>22.348330399999998</v>
      </c>
      <c r="L40" s="8">
        <v>1</v>
      </c>
      <c r="M40" s="8">
        <v>42</v>
      </c>
      <c r="N40" s="9">
        <v>2.5700000000000001E-5</v>
      </c>
      <c r="O40" s="8" t="b">
        <f t="shared" si="0"/>
        <v>1</v>
      </c>
      <c r="P40" s="8" t="s">
        <v>105</v>
      </c>
    </row>
    <row r="41" spans="1:16" s="7" customFormat="1" x14ac:dyDescent="0.2">
      <c r="A41" s="8" t="s">
        <v>71</v>
      </c>
      <c r="B41" s="7" t="s">
        <v>78</v>
      </c>
      <c r="C41" s="7" t="s">
        <v>80</v>
      </c>
      <c r="D41" s="8">
        <v>0.23106723000000001</v>
      </c>
      <c r="E41" s="8">
        <v>-2.1258099999999999E-2</v>
      </c>
      <c r="F41" s="8">
        <v>6.1315299999999996E-3</v>
      </c>
      <c r="G41" s="8">
        <v>-3.4670090999999998</v>
      </c>
      <c r="H41" s="8">
        <v>0.51712174</v>
      </c>
      <c r="I41" s="8">
        <v>7.8855899999999996E-3</v>
      </c>
      <c r="J41" s="8">
        <v>65.578070600000004</v>
      </c>
      <c r="K41" s="8">
        <v>12.0201522</v>
      </c>
      <c r="L41" s="8">
        <v>1</v>
      </c>
      <c r="M41" s="8">
        <v>40</v>
      </c>
      <c r="N41" s="8">
        <v>1.2722199999999999E-3</v>
      </c>
      <c r="O41" s="8" t="b">
        <f t="shared" si="0"/>
        <v>1</v>
      </c>
      <c r="P41" s="8" t="s">
        <v>105</v>
      </c>
    </row>
    <row r="42" spans="1:16" s="7" customFormat="1" x14ac:dyDescent="0.2">
      <c r="A42" s="8" t="s">
        <v>14</v>
      </c>
      <c r="B42" s="7" t="s">
        <v>78</v>
      </c>
      <c r="C42" s="7" t="s">
        <v>81</v>
      </c>
      <c r="D42" s="8">
        <v>0.18091599</v>
      </c>
      <c r="E42" s="8">
        <v>-2.1012400000000001E-2</v>
      </c>
      <c r="F42" s="8">
        <v>6.7402299999999998E-3</v>
      </c>
      <c r="G42" s="8">
        <v>-3.1174578999999998</v>
      </c>
      <c r="H42" s="8">
        <v>0.51351698000000001</v>
      </c>
      <c r="I42" s="8">
        <v>8.8558400000000002E-3</v>
      </c>
      <c r="J42" s="8">
        <v>57.986262199999999</v>
      </c>
      <c r="K42" s="8">
        <v>9.7185436500000009</v>
      </c>
      <c r="L42" s="8">
        <v>1</v>
      </c>
      <c r="M42" s="8">
        <v>44</v>
      </c>
      <c r="N42" s="8">
        <v>3.2111000000000002E-3</v>
      </c>
      <c r="O42" s="8" t="b">
        <f t="shared" si="0"/>
        <v>1</v>
      </c>
      <c r="P42" s="8" t="s">
        <v>105</v>
      </c>
    </row>
    <row r="43" spans="1:16" s="7" customFormat="1" x14ac:dyDescent="0.2">
      <c r="A43" s="8" t="s">
        <v>22</v>
      </c>
      <c r="B43" s="7" t="s">
        <v>78</v>
      </c>
      <c r="C43" s="7" t="s">
        <v>81</v>
      </c>
      <c r="D43" s="8">
        <v>0.19264044</v>
      </c>
      <c r="E43" s="8">
        <v>-1.8845199999999999E-2</v>
      </c>
      <c r="F43" s="8">
        <v>5.81614E-3</v>
      </c>
      <c r="G43" s="8">
        <v>-3.2401608999999998</v>
      </c>
      <c r="H43" s="8">
        <v>0.51223563000000005</v>
      </c>
      <c r="I43" s="8">
        <v>7.6822699999999997E-3</v>
      </c>
      <c r="J43" s="8">
        <v>66.677596699999995</v>
      </c>
      <c r="K43" s="8">
        <v>10.4986427</v>
      </c>
      <c r="L43" s="8">
        <v>1</v>
      </c>
      <c r="M43" s="8">
        <v>44</v>
      </c>
      <c r="N43" s="8">
        <v>2.2779200000000001E-3</v>
      </c>
      <c r="O43" s="8" t="b">
        <f t="shared" si="0"/>
        <v>1</v>
      </c>
      <c r="P43" s="8" t="s">
        <v>105</v>
      </c>
    </row>
    <row r="44" spans="1:16" x14ac:dyDescent="0.2">
      <c r="A44" s="2" t="s">
        <v>24</v>
      </c>
      <c r="B44" t="s">
        <v>78</v>
      </c>
      <c r="C44" t="s">
        <v>81</v>
      </c>
      <c r="D44" s="2">
        <v>4.072692E-2</v>
      </c>
      <c r="E44" s="2">
        <v>-8.4688000000000003E-3</v>
      </c>
      <c r="F44" s="2">
        <v>6.3420000000000004E-3</v>
      </c>
      <c r="G44" s="2">
        <v>-1.3353474999999999</v>
      </c>
      <c r="H44" s="2">
        <v>0.50007089000000005</v>
      </c>
      <c r="I44" s="2">
        <v>8.2944000000000004E-3</v>
      </c>
      <c r="J44" s="2">
        <v>60.290203099999999</v>
      </c>
      <c r="K44" s="2">
        <v>1.7831530200000001</v>
      </c>
      <c r="L44" s="2">
        <v>1</v>
      </c>
      <c r="M44" s="2">
        <v>42</v>
      </c>
      <c r="N44" s="2">
        <v>0.18895508</v>
      </c>
      <c r="O44" s="2" t="b">
        <f t="shared" si="0"/>
        <v>0</v>
      </c>
      <c r="P44" s="2" t="s">
        <v>105</v>
      </c>
    </row>
    <row r="45" spans="1:16" x14ac:dyDescent="0.2">
      <c r="A45" s="2" t="s">
        <v>25</v>
      </c>
      <c r="B45" t="s">
        <v>78</v>
      </c>
      <c r="C45" t="s">
        <v>81</v>
      </c>
      <c r="D45" s="2">
        <v>5.7746029999999997E-2</v>
      </c>
      <c r="E45" s="2">
        <v>-1.0799E-2</v>
      </c>
      <c r="F45" s="2">
        <v>6.7310099999999999E-3</v>
      </c>
      <c r="G45" s="2">
        <v>-1.6043596</v>
      </c>
      <c r="H45" s="2">
        <v>0.50212559000000001</v>
      </c>
      <c r="I45" s="2">
        <v>8.7976600000000005E-3</v>
      </c>
      <c r="J45" s="2">
        <v>57.074869900000003</v>
      </c>
      <c r="K45" s="2">
        <v>2.57396965</v>
      </c>
      <c r="L45" s="2">
        <v>1</v>
      </c>
      <c r="M45" s="2">
        <v>42</v>
      </c>
      <c r="N45" s="2">
        <v>0.11612918999999999</v>
      </c>
      <c r="O45" s="2" t="b">
        <f t="shared" si="0"/>
        <v>0</v>
      </c>
      <c r="P45" s="2" t="s">
        <v>105</v>
      </c>
    </row>
    <row r="46" spans="1:16" x14ac:dyDescent="0.2">
      <c r="A46" s="2" t="s">
        <v>28</v>
      </c>
      <c r="B46" t="s">
        <v>78</v>
      </c>
      <c r="C46" t="s">
        <v>81</v>
      </c>
      <c r="D46" s="2">
        <v>0.14780467</v>
      </c>
      <c r="E46" s="2">
        <v>-1.9437599999999999E-2</v>
      </c>
      <c r="F46" s="2">
        <v>7.4737099999999997E-3</v>
      </c>
      <c r="G46" s="2">
        <v>-2.6007991000000001</v>
      </c>
      <c r="H46" s="2">
        <v>0.51255687000000005</v>
      </c>
      <c r="I46" s="2">
        <v>9.5793800000000002E-3</v>
      </c>
      <c r="J46" s="2">
        <v>53.506248800000002</v>
      </c>
      <c r="K46" s="2">
        <v>6.7641559999999998</v>
      </c>
      <c r="L46" s="2">
        <v>1</v>
      </c>
      <c r="M46" s="2">
        <v>39</v>
      </c>
      <c r="N46" s="2">
        <v>1.307262E-2</v>
      </c>
      <c r="O46" s="2" t="b">
        <f t="shared" si="0"/>
        <v>0</v>
      </c>
      <c r="P46" s="2" t="s">
        <v>105</v>
      </c>
    </row>
    <row r="47" spans="1:16" x14ac:dyDescent="0.2">
      <c r="A47" s="2" t="s">
        <v>44</v>
      </c>
      <c r="B47" t="s">
        <v>78</v>
      </c>
      <c r="C47" t="s">
        <v>81</v>
      </c>
      <c r="D47" s="2">
        <v>4.5097600000000002E-2</v>
      </c>
      <c r="E47" s="2">
        <v>-1.09788E-2</v>
      </c>
      <c r="F47" s="2">
        <v>7.5309599999999997E-3</v>
      </c>
      <c r="G47" s="2">
        <v>-1.4578184999999999</v>
      </c>
      <c r="H47" s="2">
        <v>0.50228134000000002</v>
      </c>
      <c r="I47" s="2">
        <v>1.003181E-2</v>
      </c>
      <c r="J47" s="2">
        <v>50.068845099999997</v>
      </c>
      <c r="K47" s="2">
        <v>2.1252348799999998</v>
      </c>
      <c r="L47" s="2">
        <v>1</v>
      </c>
      <c r="M47" s="2">
        <v>45</v>
      </c>
      <c r="N47" s="2">
        <v>0.15183464999999999</v>
      </c>
      <c r="O47" s="2" t="b">
        <f t="shared" si="0"/>
        <v>0</v>
      </c>
      <c r="P47" s="2" t="s">
        <v>105</v>
      </c>
    </row>
    <row r="48" spans="1:16" s="7" customFormat="1" x14ac:dyDescent="0.2">
      <c r="A48" s="8" t="s">
        <v>51</v>
      </c>
      <c r="B48" s="7" t="s">
        <v>78</v>
      </c>
      <c r="C48" s="7" t="s">
        <v>81</v>
      </c>
      <c r="D48" s="8">
        <v>0.27161684000000003</v>
      </c>
      <c r="E48" s="8">
        <v>-3.01734E-2</v>
      </c>
      <c r="F48" s="8">
        <v>7.5351400000000001E-3</v>
      </c>
      <c r="G48" s="8">
        <v>-4.0043555</v>
      </c>
      <c r="H48" s="8">
        <v>0.52825661000000002</v>
      </c>
      <c r="I48" s="8">
        <v>9.8371699999999992E-3</v>
      </c>
      <c r="J48" s="8">
        <v>53.7000642</v>
      </c>
      <c r="K48" s="8">
        <v>16.034863099999999</v>
      </c>
      <c r="L48" s="8">
        <v>1</v>
      </c>
      <c r="M48" s="8">
        <v>43</v>
      </c>
      <c r="N48" s="8">
        <v>2.4182000000000001E-4</v>
      </c>
      <c r="O48" s="8" t="b">
        <f t="shared" si="0"/>
        <v>1</v>
      </c>
      <c r="P48" s="8" t="s">
        <v>105</v>
      </c>
    </row>
    <row r="49" spans="1:16" x14ac:dyDescent="0.2">
      <c r="A49" s="2" t="s">
        <v>57</v>
      </c>
      <c r="B49" t="s">
        <v>78</v>
      </c>
      <c r="C49" t="s">
        <v>81</v>
      </c>
      <c r="D49" s="2">
        <v>0.12469513</v>
      </c>
      <c r="E49" s="2">
        <v>-1.7388299999999999E-2</v>
      </c>
      <c r="F49" s="2">
        <v>6.9452300000000002E-3</v>
      </c>
      <c r="G49" s="2">
        <v>-2.5036372999999998</v>
      </c>
      <c r="H49" s="2">
        <v>0.51200091000000003</v>
      </c>
      <c r="I49" s="2">
        <v>9.1991499999999997E-3</v>
      </c>
      <c r="J49" s="2">
        <v>55.657429299999997</v>
      </c>
      <c r="K49" s="2">
        <v>6.2681999700000004</v>
      </c>
      <c r="L49" s="2">
        <v>1</v>
      </c>
      <c r="M49" s="2">
        <v>44</v>
      </c>
      <c r="N49" s="2">
        <v>1.6075619999999999E-2</v>
      </c>
      <c r="O49" s="2" t="b">
        <f t="shared" si="0"/>
        <v>0</v>
      </c>
      <c r="P49" s="2" t="s">
        <v>105</v>
      </c>
    </row>
    <row r="50" spans="1:16" x14ac:dyDescent="0.2">
      <c r="A50" s="2" t="s">
        <v>60</v>
      </c>
      <c r="B50" t="s">
        <v>78</v>
      </c>
      <c r="C50" t="s">
        <v>81</v>
      </c>
      <c r="D50" s="2">
        <v>0.13442557999999999</v>
      </c>
      <c r="E50" s="2">
        <v>-1.7712100000000001E-2</v>
      </c>
      <c r="F50" s="2">
        <v>6.8540600000000004E-3</v>
      </c>
      <c r="G50" s="2">
        <v>-2.5841813</v>
      </c>
      <c r="H50" s="2">
        <v>0.51060839000000002</v>
      </c>
      <c r="I50" s="2">
        <v>8.9847699999999996E-3</v>
      </c>
      <c r="J50" s="2">
        <v>56.830462500000003</v>
      </c>
      <c r="K50" s="2">
        <v>6.6779927499999996</v>
      </c>
      <c r="L50" s="2">
        <v>1</v>
      </c>
      <c r="M50" s="2">
        <v>43</v>
      </c>
      <c r="N50" s="2">
        <v>1.324061E-2</v>
      </c>
      <c r="O50" s="2" t="b">
        <f>N50&lt;0.01</f>
        <v>0</v>
      </c>
      <c r="P50" s="2" t="s">
        <v>105</v>
      </c>
    </row>
    <row r="51" spans="1:16" x14ac:dyDescent="0.2">
      <c r="A51" s="2" t="s">
        <v>70</v>
      </c>
      <c r="B51" t="s">
        <v>78</v>
      </c>
      <c r="C51" t="s">
        <v>81</v>
      </c>
      <c r="D51" s="2">
        <v>8.0794260000000007E-2</v>
      </c>
      <c r="E51" s="2">
        <v>-1.40974E-2</v>
      </c>
      <c r="F51" s="2">
        <v>7.1684899999999996E-3</v>
      </c>
      <c r="G51" s="2">
        <v>-1.9665737000000001</v>
      </c>
      <c r="H51" s="2">
        <v>0.50712796000000004</v>
      </c>
      <c r="I51" s="2">
        <v>9.4449000000000009E-3</v>
      </c>
      <c r="J51" s="2">
        <v>53.693307599999997</v>
      </c>
      <c r="K51" s="2">
        <v>3.8674121100000001</v>
      </c>
      <c r="L51" s="2">
        <v>1</v>
      </c>
      <c r="M51" s="2">
        <v>44</v>
      </c>
      <c r="N51" s="2">
        <v>5.5559690000000002E-2</v>
      </c>
      <c r="O51" s="2" t="b">
        <f t="shared" si="0"/>
        <v>0</v>
      </c>
      <c r="P51" s="2" t="s">
        <v>105</v>
      </c>
    </row>
    <row r="52" spans="1:16" x14ac:dyDescent="0.2">
      <c r="A52" s="2" t="s">
        <v>18</v>
      </c>
      <c r="B52" t="s">
        <v>78</v>
      </c>
      <c r="C52" t="s">
        <v>82</v>
      </c>
      <c r="D52" s="2">
        <v>2.200278E-2</v>
      </c>
      <c r="E52" s="2">
        <v>-6.0937999999999999E-3</v>
      </c>
      <c r="F52" s="2">
        <v>6.5055699999999996E-3</v>
      </c>
      <c r="G52" s="2">
        <v>-0.93670390000000003</v>
      </c>
      <c r="H52" s="2">
        <v>0.49342382000000001</v>
      </c>
      <c r="I52" s="2">
        <v>8.3891299999999999E-3</v>
      </c>
      <c r="J52" s="2">
        <v>58.817018500000003</v>
      </c>
      <c r="K52" s="2">
        <v>0.87741411000000002</v>
      </c>
      <c r="L52" s="2">
        <v>1</v>
      </c>
      <c r="M52" s="2">
        <v>39</v>
      </c>
      <c r="N52" s="2">
        <v>0.35467552000000002</v>
      </c>
      <c r="O52" s="2" t="b">
        <f t="shared" si="0"/>
        <v>0</v>
      </c>
      <c r="P52" s="2" t="s">
        <v>105</v>
      </c>
    </row>
    <row r="53" spans="1:16" x14ac:dyDescent="0.2">
      <c r="A53" s="2" t="s">
        <v>19</v>
      </c>
      <c r="B53" t="s">
        <v>78</v>
      </c>
      <c r="C53" t="s">
        <v>82</v>
      </c>
      <c r="D53" s="2">
        <v>0.10941272</v>
      </c>
      <c r="E53" s="2">
        <v>-1.3939200000000001E-2</v>
      </c>
      <c r="F53" s="2">
        <v>6.1364799999999997E-3</v>
      </c>
      <c r="G53" s="2">
        <v>-2.2715396000000001</v>
      </c>
      <c r="H53" s="2">
        <v>0.50607015</v>
      </c>
      <c r="I53" s="2">
        <v>8.0202999999999993E-3</v>
      </c>
      <c r="J53" s="2">
        <v>63.098678800000002</v>
      </c>
      <c r="K53" s="2">
        <v>5.1598921200000003</v>
      </c>
      <c r="L53" s="2">
        <v>1</v>
      </c>
      <c r="M53" s="2">
        <v>42</v>
      </c>
      <c r="N53" s="2">
        <v>2.8300200000000001E-2</v>
      </c>
      <c r="O53" s="2" t="b">
        <f t="shared" si="0"/>
        <v>0</v>
      </c>
      <c r="P53" s="2" t="s">
        <v>105</v>
      </c>
    </row>
    <row r="54" spans="1:16" x14ac:dyDescent="0.2">
      <c r="A54" s="2" t="s">
        <v>32</v>
      </c>
      <c r="B54" t="s">
        <v>78</v>
      </c>
      <c r="C54" t="s">
        <v>82</v>
      </c>
      <c r="D54" s="2">
        <v>6.0563859999999997E-2</v>
      </c>
      <c r="E54" s="2">
        <v>-1.11456E-2</v>
      </c>
      <c r="F54" s="2">
        <v>6.8554699999999998E-3</v>
      </c>
      <c r="G54" s="2">
        <v>-1.6257923000000001</v>
      </c>
      <c r="H54" s="2">
        <v>0.50080764</v>
      </c>
      <c r="I54" s="2">
        <v>8.9270900000000004E-3</v>
      </c>
      <c r="J54" s="2">
        <v>56.099779300000002</v>
      </c>
      <c r="K54" s="2">
        <v>2.6432006299999999</v>
      </c>
      <c r="L54" s="2">
        <v>1</v>
      </c>
      <c r="M54" s="2">
        <v>41</v>
      </c>
      <c r="N54" s="2">
        <v>0.11165702</v>
      </c>
      <c r="O54" s="2" t="b">
        <f t="shared" si="0"/>
        <v>0</v>
      </c>
      <c r="P54" s="2" t="s">
        <v>105</v>
      </c>
    </row>
    <row r="55" spans="1:16" s="7" customFormat="1" x14ac:dyDescent="0.2">
      <c r="A55" s="8" t="s">
        <v>36</v>
      </c>
      <c r="B55" s="7" t="s">
        <v>78</v>
      </c>
      <c r="C55" s="7" t="s">
        <v>82</v>
      </c>
      <c r="D55" s="8">
        <v>0.21651773999999999</v>
      </c>
      <c r="E55" s="8">
        <v>-3.1730099999999997E-2</v>
      </c>
      <c r="F55" s="8">
        <v>9.9229000000000001E-3</v>
      </c>
      <c r="G55" s="8">
        <v>-3.1976654999999998</v>
      </c>
      <c r="H55" s="8">
        <v>0.52752451</v>
      </c>
      <c r="I55" s="8">
        <v>1.287636E-2</v>
      </c>
      <c r="J55" s="8">
        <v>40.968455300000002</v>
      </c>
      <c r="K55" s="8">
        <v>10.225064400000001</v>
      </c>
      <c r="L55" s="8">
        <v>1</v>
      </c>
      <c r="M55" s="8">
        <v>37</v>
      </c>
      <c r="N55" s="8">
        <v>2.8368099999999999E-3</v>
      </c>
      <c r="O55" s="8" t="b">
        <f t="shared" si="0"/>
        <v>1</v>
      </c>
      <c r="P55" s="8" t="s">
        <v>105</v>
      </c>
    </row>
    <row r="56" spans="1:16" x14ac:dyDescent="0.2">
      <c r="A56" s="2" t="s">
        <v>47</v>
      </c>
      <c r="B56" t="s">
        <v>78</v>
      </c>
      <c r="C56" t="s">
        <v>82</v>
      </c>
      <c r="D56" s="2">
        <v>4.5716899999999998E-2</v>
      </c>
      <c r="E56" s="2">
        <v>-8.8120000000000004E-3</v>
      </c>
      <c r="F56" s="2">
        <v>6.2876E-3</v>
      </c>
      <c r="G56" s="2">
        <v>-1.4014953999999999</v>
      </c>
      <c r="H56" s="2">
        <v>0.50023591000000001</v>
      </c>
      <c r="I56" s="2">
        <v>8.2210300000000007E-3</v>
      </c>
      <c r="J56" s="2">
        <v>60.848359199999997</v>
      </c>
      <c r="K56" s="2">
        <v>1.9641893399999999</v>
      </c>
      <c r="L56" s="2">
        <v>1</v>
      </c>
      <c r="M56" s="2">
        <v>41</v>
      </c>
      <c r="N56" s="2">
        <v>0.16859087</v>
      </c>
      <c r="O56" s="2" t="b">
        <f t="shared" si="0"/>
        <v>0</v>
      </c>
      <c r="P56" s="2" t="s">
        <v>105</v>
      </c>
    </row>
    <row r="57" spans="1:16" x14ac:dyDescent="0.2">
      <c r="A57" s="2" t="s">
        <v>48</v>
      </c>
      <c r="B57" t="s">
        <v>78</v>
      </c>
      <c r="C57" t="s">
        <v>82</v>
      </c>
      <c r="D57" s="3">
        <v>3.4E-5</v>
      </c>
      <c r="E57" s="2">
        <v>2.6530999999999999E-4</v>
      </c>
      <c r="F57" s="2">
        <v>7.1111200000000003E-3</v>
      </c>
      <c r="G57" s="2">
        <v>3.7309519999999999E-2</v>
      </c>
      <c r="H57" s="2">
        <v>0.48627092</v>
      </c>
      <c r="I57" s="2">
        <v>9.2951700000000002E-3</v>
      </c>
      <c r="J57" s="2">
        <v>52.314380200000002</v>
      </c>
      <c r="K57" s="2">
        <v>1.392E-3</v>
      </c>
      <c r="L57" s="2">
        <v>1</v>
      </c>
      <c r="M57" s="2">
        <v>41</v>
      </c>
      <c r="N57" s="2">
        <v>0.97041929000000005</v>
      </c>
      <c r="O57" s="2" t="b">
        <f t="shared" si="0"/>
        <v>0</v>
      </c>
      <c r="P57" s="2" t="s">
        <v>105</v>
      </c>
    </row>
    <row r="58" spans="1:16" x14ac:dyDescent="0.2">
      <c r="A58" s="2" t="s">
        <v>53</v>
      </c>
      <c r="B58" t="s">
        <v>78</v>
      </c>
      <c r="C58" t="s">
        <v>82</v>
      </c>
      <c r="D58" s="2">
        <v>8.232573E-2</v>
      </c>
      <c r="E58" s="2">
        <v>-1.6257500000000001E-2</v>
      </c>
      <c r="F58" s="2">
        <v>8.37538E-3</v>
      </c>
      <c r="G58" s="2">
        <v>-1.9411012000000001</v>
      </c>
      <c r="H58" s="2">
        <v>0.50909534000000001</v>
      </c>
      <c r="I58" s="2">
        <v>1.1000670000000001E-2</v>
      </c>
      <c r="J58" s="2">
        <v>46.278578799999998</v>
      </c>
      <c r="K58" s="2">
        <v>3.7678737400000002</v>
      </c>
      <c r="L58" s="2">
        <v>1</v>
      </c>
      <c r="M58" s="2">
        <v>42</v>
      </c>
      <c r="N58" s="2">
        <v>5.8976109999999998E-2</v>
      </c>
      <c r="O58" s="2" t="b">
        <f t="shared" si="0"/>
        <v>0</v>
      </c>
      <c r="P58" s="2" t="s">
        <v>105</v>
      </c>
    </row>
    <row r="59" spans="1:16" s="7" customFormat="1" x14ac:dyDescent="0.2">
      <c r="A59" s="8" t="s">
        <v>55</v>
      </c>
      <c r="B59" s="7" t="s">
        <v>78</v>
      </c>
      <c r="C59" s="7" t="s">
        <v>82</v>
      </c>
      <c r="D59" s="8">
        <v>0.23581084999999999</v>
      </c>
      <c r="E59" s="8">
        <v>-2.3266800000000001E-2</v>
      </c>
      <c r="F59" s="8">
        <v>6.54129E-3</v>
      </c>
      <c r="G59" s="8">
        <v>-3.5569142</v>
      </c>
      <c r="H59" s="8">
        <v>0.51648232999999999</v>
      </c>
      <c r="I59" s="8">
        <v>8.5057399999999995E-3</v>
      </c>
      <c r="J59" s="8">
        <v>60.7216004</v>
      </c>
      <c r="K59" s="8">
        <v>12.651638800000001</v>
      </c>
      <c r="L59" s="8">
        <v>1</v>
      </c>
      <c r="M59" s="8">
        <v>41</v>
      </c>
      <c r="N59" s="8">
        <v>9.6376999999999997E-4</v>
      </c>
      <c r="O59" s="8" t="b">
        <f t="shared" si="0"/>
        <v>1</v>
      </c>
      <c r="P59" s="8" t="s">
        <v>105</v>
      </c>
    </row>
    <row r="60" spans="1:16" x14ac:dyDescent="0.2">
      <c r="A60" s="2" t="s">
        <v>68</v>
      </c>
      <c r="B60" t="s">
        <v>78</v>
      </c>
      <c r="C60" t="s">
        <v>82</v>
      </c>
      <c r="D60" s="2">
        <v>6.9190580000000002E-2</v>
      </c>
      <c r="E60" s="2">
        <v>-1.6420400000000002E-2</v>
      </c>
      <c r="F60" s="2">
        <v>9.2932099999999997E-3</v>
      </c>
      <c r="G60" s="2">
        <v>-1.7669235000000001</v>
      </c>
      <c r="H60" s="2">
        <v>0.51291880000000001</v>
      </c>
      <c r="I60" s="2">
        <v>1.224131E-2</v>
      </c>
      <c r="J60" s="2">
        <v>41.900652899999997</v>
      </c>
      <c r="K60" s="2">
        <v>3.1220184899999999</v>
      </c>
      <c r="L60" s="2">
        <v>1</v>
      </c>
      <c r="M60" s="2">
        <v>42</v>
      </c>
      <c r="N60" s="2">
        <v>8.4507360000000004E-2</v>
      </c>
      <c r="O60" s="2" t="b">
        <f t="shared" si="0"/>
        <v>0</v>
      </c>
      <c r="P60" s="2" t="s">
        <v>105</v>
      </c>
    </row>
    <row r="61" spans="1:16" s="7" customFormat="1" x14ac:dyDescent="0.2">
      <c r="A61" s="8" t="s">
        <v>69</v>
      </c>
      <c r="B61" s="7" t="s">
        <v>78</v>
      </c>
      <c r="C61" s="7" t="s">
        <v>82</v>
      </c>
      <c r="D61" s="8">
        <v>0.25171009</v>
      </c>
      <c r="E61" s="8">
        <v>-1.9017699999999998E-2</v>
      </c>
      <c r="F61" s="8">
        <v>5.12094E-3</v>
      </c>
      <c r="G61" s="8">
        <v>-3.7137041000000002</v>
      </c>
      <c r="H61" s="8">
        <v>0.51199981999999999</v>
      </c>
      <c r="I61" s="8">
        <v>6.6491800000000002E-3</v>
      </c>
      <c r="J61" s="8">
        <v>77.0019499</v>
      </c>
      <c r="K61" s="8">
        <v>13.7915981</v>
      </c>
      <c r="L61" s="8">
        <v>1</v>
      </c>
      <c r="M61" s="8">
        <v>41</v>
      </c>
      <c r="N61" s="8">
        <v>6.0910000000000001E-4</v>
      </c>
      <c r="O61" s="8" t="b">
        <f t="shared" si="0"/>
        <v>1</v>
      </c>
      <c r="P61" s="8" t="s">
        <v>105</v>
      </c>
    </row>
  </sheetData>
  <sortState xmlns:xlrd2="http://schemas.microsoft.com/office/spreadsheetml/2017/richdata2" ref="A2:P62">
    <sortCondition ref="C2:C6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96D1-0960-924F-8EAF-40FDEA31B140}">
  <dimension ref="A1:P61"/>
  <sheetViews>
    <sheetView topLeftCell="A22" workbookViewId="0">
      <selection activeCell="E30" sqref="E30"/>
    </sheetView>
  </sheetViews>
  <sheetFormatPr baseColWidth="10" defaultRowHeight="16" x14ac:dyDescent="0.2"/>
  <cols>
    <col min="1" max="1" width="54.6640625" bestFit="1" customWidth="1"/>
  </cols>
  <sheetData>
    <row r="1" spans="1:16" x14ac:dyDescent="0.2">
      <c r="A1" s="2" t="s">
        <v>0</v>
      </c>
      <c r="B1" t="s">
        <v>72</v>
      </c>
      <c r="C1" t="s">
        <v>73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107</v>
      </c>
      <c r="P1" s="2" t="s">
        <v>100</v>
      </c>
    </row>
    <row r="2" spans="1:16" x14ac:dyDescent="0.2">
      <c r="A2" s="2" t="s">
        <v>15</v>
      </c>
      <c r="B2" t="s">
        <v>74</v>
      </c>
      <c r="C2" t="s">
        <v>75</v>
      </c>
      <c r="D2" s="2">
        <v>6.0196050000000001E-2</v>
      </c>
      <c r="E2" s="2">
        <v>-9.9745000000000007E-3</v>
      </c>
      <c r="F2" s="2">
        <v>6.66178E-3</v>
      </c>
      <c r="G2" s="2">
        <v>-1.4972673999999999</v>
      </c>
      <c r="H2" s="2">
        <v>0.41495385000000001</v>
      </c>
      <c r="I2" s="2">
        <v>8.3460199999999991E-3</v>
      </c>
      <c r="J2" s="2">
        <v>49.718744100000002</v>
      </c>
      <c r="K2" s="2">
        <v>2.2418097100000001</v>
      </c>
      <c r="L2" s="2">
        <v>1</v>
      </c>
      <c r="M2" s="2">
        <v>35</v>
      </c>
      <c r="N2" s="2">
        <v>0.14328853</v>
      </c>
      <c r="O2" s="2" t="b">
        <f>N2&lt;0.01</f>
        <v>0</v>
      </c>
      <c r="P2" s="2" t="s">
        <v>104</v>
      </c>
    </row>
    <row r="3" spans="1:16" x14ac:dyDescent="0.2">
      <c r="A3" s="2" t="s">
        <v>37</v>
      </c>
      <c r="B3" t="s">
        <v>74</v>
      </c>
      <c r="C3" t="s">
        <v>75</v>
      </c>
      <c r="D3" s="3">
        <v>6.9200000000000002E-5</v>
      </c>
      <c r="E3" s="2">
        <v>-2.7179999999999999E-4</v>
      </c>
      <c r="F3" s="2">
        <v>5.5232299999999996E-3</v>
      </c>
      <c r="G3" s="2">
        <v>-4.9202500000000003E-2</v>
      </c>
      <c r="H3" s="2">
        <v>0.40209244999999999</v>
      </c>
      <c r="I3" s="2">
        <v>6.8847400000000003E-3</v>
      </c>
      <c r="J3" s="2">
        <v>58.403454699999998</v>
      </c>
      <c r="K3" s="2">
        <v>2.4208900000000002E-3</v>
      </c>
      <c r="L3" s="2">
        <v>1</v>
      </c>
      <c r="M3" s="2">
        <v>35</v>
      </c>
      <c r="N3" s="2">
        <v>0.96103759</v>
      </c>
      <c r="O3" s="2" t="b">
        <f t="shared" ref="O3:O61" si="0">N3&lt;0.01</f>
        <v>0</v>
      </c>
      <c r="P3" s="2" t="s">
        <v>104</v>
      </c>
    </row>
    <row r="4" spans="1:16" x14ac:dyDescent="0.2">
      <c r="A4" s="2" t="s">
        <v>39</v>
      </c>
      <c r="B4" t="s">
        <v>74</v>
      </c>
      <c r="C4" t="s">
        <v>75</v>
      </c>
      <c r="D4" s="2">
        <v>0.13125466</v>
      </c>
      <c r="E4" s="2">
        <v>-1.5727000000000001E-2</v>
      </c>
      <c r="F4" s="2">
        <v>7.0433099999999997E-3</v>
      </c>
      <c r="G4" s="2">
        <v>-2.2328939000000001</v>
      </c>
      <c r="H4" s="2">
        <v>0.42334295</v>
      </c>
      <c r="I4" s="2">
        <v>8.6762799999999998E-3</v>
      </c>
      <c r="J4" s="2">
        <v>48.793144300000002</v>
      </c>
      <c r="K4" s="2">
        <v>4.9858152699999998</v>
      </c>
      <c r="L4" s="2">
        <v>1</v>
      </c>
      <c r="M4" s="2">
        <v>33</v>
      </c>
      <c r="N4" s="2">
        <v>3.2455280000000003E-2</v>
      </c>
      <c r="O4" s="2" t="b">
        <f t="shared" si="0"/>
        <v>0</v>
      </c>
      <c r="P4" s="2" t="s">
        <v>104</v>
      </c>
    </row>
    <row r="5" spans="1:16" x14ac:dyDescent="0.2">
      <c r="A5" s="2" t="s">
        <v>45</v>
      </c>
      <c r="B5" t="s">
        <v>74</v>
      </c>
      <c r="C5" t="s">
        <v>75</v>
      </c>
      <c r="D5" s="2">
        <v>1.619311E-2</v>
      </c>
      <c r="E5" s="2">
        <v>5.8536100000000004E-3</v>
      </c>
      <c r="F5" s="2">
        <v>8.1946899999999993E-3</v>
      </c>
      <c r="G5" s="2">
        <v>0.71431710000000004</v>
      </c>
      <c r="H5" s="2">
        <v>0.39681274999999999</v>
      </c>
      <c r="I5" s="2">
        <v>9.89342E-3</v>
      </c>
      <c r="J5" s="2">
        <v>40.108758999999999</v>
      </c>
      <c r="K5" s="2">
        <v>0.51024891999999999</v>
      </c>
      <c r="L5" s="2">
        <v>1</v>
      </c>
      <c r="M5" s="2">
        <v>31</v>
      </c>
      <c r="N5" s="2">
        <v>0.48037568000000003</v>
      </c>
      <c r="O5" s="2" t="b">
        <f t="shared" si="0"/>
        <v>0</v>
      </c>
      <c r="P5" s="2" t="s">
        <v>104</v>
      </c>
    </row>
    <row r="6" spans="1:16" x14ac:dyDescent="0.2">
      <c r="A6" s="2" t="s">
        <v>46</v>
      </c>
      <c r="B6" t="s">
        <v>74</v>
      </c>
      <c r="C6" t="s">
        <v>75</v>
      </c>
      <c r="D6" s="2">
        <v>7.2688099999999997E-3</v>
      </c>
      <c r="E6" s="2">
        <v>-2.8299000000000002E-3</v>
      </c>
      <c r="F6" s="2">
        <v>5.5901700000000002E-3</v>
      </c>
      <c r="G6" s="2">
        <v>-0.50623240000000003</v>
      </c>
      <c r="H6" s="2">
        <v>0.40500671999999999</v>
      </c>
      <c r="I6" s="2">
        <v>7.0167800000000002E-3</v>
      </c>
      <c r="J6" s="2">
        <v>57.719763899999997</v>
      </c>
      <c r="K6" s="2">
        <v>0.25627123000000002</v>
      </c>
      <c r="L6" s="2">
        <v>1</v>
      </c>
      <c r="M6" s="2">
        <v>35</v>
      </c>
      <c r="N6" s="2">
        <v>0.61586759999999996</v>
      </c>
      <c r="O6" s="2" t="b">
        <f t="shared" si="0"/>
        <v>0</v>
      </c>
      <c r="P6" s="2" t="s">
        <v>104</v>
      </c>
    </row>
    <row r="7" spans="1:16" x14ac:dyDescent="0.2">
      <c r="A7" s="2" t="s">
        <v>49</v>
      </c>
      <c r="B7" t="s">
        <v>74</v>
      </c>
      <c r="C7" t="s">
        <v>75</v>
      </c>
      <c r="D7" s="2">
        <v>2.0231860000000001E-2</v>
      </c>
      <c r="E7" s="2">
        <v>-4.3333E-3</v>
      </c>
      <c r="F7" s="2">
        <v>5.2493000000000001E-3</v>
      </c>
      <c r="G7" s="2">
        <v>-0.82549269999999997</v>
      </c>
      <c r="H7" s="2">
        <v>0.40874611999999999</v>
      </c>
      <c r="I7" s="2">
        <v>6.4662499999999998E-3</v>
      </c>
      <c r="J7" s="2">
        <v>63.212266700000001</v>
      </c>
      <c r="K7" s="2">
        <v>0.68143827000000001</v>
      </c>
      <c r="L7" s="2">
        <v>1</v>
      </c>
      <c r="M7" s="2">
        <v>33</v>
      </c>
      <c r="N7" s="2">
        <v>0.41501990999999999</v>
      </c>
      <c r="O7" s="2" t="b">
        <f t="shared" si="0"/>
        <v>0</v>
      </c>
      <c r="P7" s="2" t="s">
        <v>104</v>
      </c>
    </row>
    <row r="8" spans="1:16" x14ac:dyDescent="0.2">
      <c r="A8" s="2" t="s">
        <v>58</v>
      </c>
      <c r="B8" t="s">
        <v>74</v>
      </c>
      <c r="C8" t="s">
        <v>75</v>
      </c>
      <c r="D8" s="2">
        <v>1.3445159999999999E-2</v>
      </c>
      <c r="E8" s="2">
        <v>-4.3501E-3</v>
      </c>
      <c r="F8" s="2">
        <v>6.2104400000000002E-3</v>
      </c>
      <c r="G8" s="2">
        <v>-0.70044439999999997</v>
      </c>
      <c r="H8" s="2">
        <v>0.40591099000000003</v>
      </c>
      <c r="I8" s="2">
        <v>7.7878599999999997E-3</v>
      </c>
      <c r="J8" s="2">
        <v>52.120993599999998</v>
      </c>
      <c r="K8" s="2">
        <v>0.49062242</v>
      </c>
      <c r="L8" s="2">
        <v>1</v>
      </c>
      <c r="M8" s="2">
        <v>36</v>
      </c>
      <c r="N8" s="2">
        <v>0.48815230999999998</v>
      </c>
      <c r="O8" s="2" t="b">
        <f t="shared" si="0"/>
        <v>0</v>
      </c>
      <c r="P8" s="2" t="s">
        <v>104</v>
      </c>
    </row>
    <row r="9" spans="1:16" x14ac:dyDescent="0.2">
      <c r="A9" s="2" t="s">
        <v>62</v>
      </c>
      <c r="B9" t="s">
        <v>74</v>
      </c>
      <c r="C9" t="s">
        <v>75</v>
      </c>
      <c r="D9" s="2">
        <v>2.9701580000000002E-2</v>
      </c>
      <c r="E9" s="2">
        <v>6.88319E-3</v>
      </c>
      <c r="F9" s="2">
        <v>6.8485100000000004E-3</v>
      </c>
      <c r="G9" s="2">
        <v>1.00506484</v>
      </c>
      <c r="H9" s="2">
        <v>0.39392176000000001</v>
      </c>
      <c r="I9" s="2">
        <v>8.3645200000000003E-3</v>
      </c>
      <c r="J9" s="2">
        <v>47.094391999999999</v>
      </c>
      <c r="K9" s="2">
        <v>1.0101553400000001</v>
      </c>
      <c r="L9" s="2">
        <v>1</v>
      </c>
      <c r="M9" s="2">
        <v>33</v>
      </c>
      <c r="N9" s="2">
        <v>0.32217883000000003</v>
      </c>
      <c r="O9" s="2" t="b">
        <f t="shared" si="0"/>
        <v>0</v>
      </c>
      <c r="P9" s="2" t="s">
        <v>104</v>
      </c>
    </row>
    <row r="10" spans="1:16" x14ac:dyDescent="0.2">
      <c r="A10" s="2" t="s">
        <v>65</v>
      </c>
      <c r="B10" t="s">
        <v>74</v>
      </c>
      <c r="C10" t="s">
        <v>75</v>
      </c>
      <c r="D10" s="2">
        <v>2.2586249999999999E-2</v>
      </c>
      <c r="E10" s="2">
        <v>-6.3397999999999996E-3</v>
      </c>
      <c r="F10" s="2">
        <v>7.3725600000000002E-3</v>
      </c>
      <c r="G10" s="2">
        <v>-0.85991960000000001</v>
      </c>
      <c r="H10" s="2">
        <v>0.41022069</v>
      </c>
      <c r="I10" s="2">
        <v>9.0049699999999993E-3</v>
      </c>
      <c r="J10" s="2">
        <v>45.554904100000002</v>
      </c>
      <c r="K10" s="2">
        <v>0.73946168999999995</v>
      </c>
      <c r="L10" s="2">
        <v>1</v>
      </c>
      <c r="M10" s="2">
        <v>32</v>
      </c>
      <c r="N10" s="2">
        <v>0.39623018999999998</v>
      </c>
      <c r="O10" s="2" t="b">
        <f t="shared" si="0"/>
        <v>0</v>
      </c>
      <c r="P10" s="2" t="s">
        <v>104</v>
      </c>
    </row>
    <row r="11" spans="1:16" x14ac:dyDescent="0.2">
      <c r="A11" s="2" t="s">
        <v>66</v>
      </c>
      <c r="B11" t="s">
        <v>74</v>
      </c>
      <c r="C11" t="s">
        <v>75</v>
      </c>
      <c r="D11" s="2">
        <v>8.6601000000000004E-3</v>
      </c>
      <c r="E11" s="2">
        <v>-4.4378999999999998E-3</v>
      </c>
      <c r="F11" s="2">
        <v>7.9136099999999997E-3</v>
      </c>
      <c r="G11" s="2">
        <v>-0.56079140000000005</v>
      </c>
      <c r="H11" s="2">
        <v>0.40610065000000001</v>
      </c>
      <c r="I11" s="2">
        <v>9.9614999999999999E-3</v>
      </c>
      <c r="J11" s="2">
        <v>40.767035</v>
      </c>
      <c r="K11" s="2">
        <v>0.31448693999999999</v>
      </c>
      <c r="L11" s="2">
        <v>1</v>
      </c>
      <c r="M11" s="2">
        <v>36</v>
      </c>
      <c r="N11" s="2">
        <v>0.57841372999999996</v>
      </c>
      <c r="O11" s="2" t="b">
        <f t="shared" si="0"/>
        <v>0</v>
      </c>
      <c r="P11" s="2" t="s">
        <v>104</v>
      </c>
    </row>
    <row r="12" spans="1:16" x14ac:dyDescent="0.2">
      <c r="A12" s="2" t="s">
        <v>12</v>
      </c>
      <c r="B12" t="s">
        <v>76</v>
      </c>
      <c r="C12" t="s">
        <v>77</v>
      </c>
      <c r="D12" s="2">
        <v>2.8556000000000002E-2</v>
      </c>
      <c r="E12" s="2">
        <v>5.1032200000000003E-3</v>
      </c>
      <c r="F12" s="2">
        <v>4.7662E-3</v>
      </c>
      <c r="G12" s="2">
        <v>1.0707107</v>
      </c>
      <c r="H12" s="2">
        <v>0.40165691999999997</v>
      </c>
      <c r="I12" s="2">
        <v>6.0924300000000002E-3</v>
      </c>
      <c r="J12" s="2">
        <v>65.927214800000002</v>
      </c>
      <c r="K12" s="2">
        <v>1.1464214100000001</v>
      </c>
      <c r="L12" s="2">
        <v>1</v>
      </c>
      <c r="M12" s="2">
        <v>39</v>
      </c>
      <c r="N12" s="2">
        <v>0.29088129000000001</v>
      </c>
      <c r="O12" s="2" t="b">
        <f t="shared" si="0"/>
        <v>0</v>
      </c>
      <c r="P12" s="2" t="s">
        <v>104</v>
      </c>
    </row>
    <row r="13" spans="1:16" x14ac:dyDescent="0.2">
      <c r="A13" s="2" t="s">
        <v>16</v>
      </c>
      <c r="B13" t="s">
        <v>76</v>
      </c>
      <c r="C13" t="s">
        <v>77</v>
      </c>
      <c r="D13" s="2">
        <v>4.0684320000000003E-2</v>
      </c>
      <c r="E13" s="2">
        <v>9.8356199999999998E-3</v>
      </c>
      <c r="F13" s="2">
        <v>8.0730000000000003E-3</v>
      </c>
      <c r="G13" s="2">
        <v>1.2183351099999999</v>
      </c>
      <c r="H13" s="2">
        <v>0.39398259000000002</v>
      </c>
      <c r="I13" s="2">
        <v>1.0064109999999999E-2</v>
      </c>
      <c r="J13" s="2">
        <v>39.147300999999999</v>
      </c>
      <c r="K13" s="2">
        <v>1.48434044</v>
      </c>
      <c r="L13" s="2">
        <v>1</v>
      </c>
      <c r="M13" s="2">
        <v>35</v>
      </c>
      <c r="N13" s="2">
        <v>0.23124575999999999</v>
      </c>
      <c r="O13" s="2" t="b">
        <f t="shared" si="0"/>
        <v>0</v>
      </c>
      <c r="P13" s="2" t="s">
        <v>104</v>
      </c>
    </row>
    <row r="14" spans="1:16" x14ac:dyDescent="0.2">
      <c r="A14" s="2" t="s">
        <v>29</v>
      </c>
      <c r="B14" t="s">
        <v>76</v>
      </c>
      <c r="C14" t="s">
        <v>77</v>
      </c>
      <c r="D14" s="2">
        <v>6.3236410000000007E-2</v>
      </c>
      <c r="E14" s="2">
        <v>1.4229210000000001E-2</v>
      </c>
      <c r="F14" s="2">
        <v>8.65929E-3</v>
      </c>
      <c r="G14" s="2">
        <v>1.6432308900000001</v>
      </c>
      <c r="H14" s="2">
        <v>0.38942685999999999</v>
      </c>
      <c r="I14" s="2">
        <v>1.115216E-2</v>
      </c>
      <c r="J14" s="2">
        <v>34.919408199999999</v>
      </c>
      <c r="K14" s="2">
        <v>2.70020777</v>
      </c>
      <c r="L14" s="2">
        <v>1</v>
      </c>
      <c r="M14" s="2">
        <v>40</v>
      </c>
      <c r="N14" s="2">
        <v>0.10817412</v>
      </c>
      <c r="O14" s="2" t="b">
        <f t="shared" si="0"/>
        <v>0</v>
      </c>
      <c r="P14" s="2" t="s">
        <v>104</v>
      </c>
    </row>
    <row r="15" spans="1:16" x14ac:dyDescent="0.2">
      <c r="A15" s="2" t="s">
        <v>34</v>
      </c>
      <c r="B15" t="s">
        <v>76</v>
      </c>
      <c r="C15" t="s">
        <v>77</v>
      </c>
      <c r="D15" s="2">
        <v>8.1668399999999999E-3</v>
      </c>
      <c r="E15" s="2">
        <v>-2.9656999999999999E-3</v>
      </c>
      <c r="F15" s="2">
        <v>5.6050099999999997E-3</v>
      </c>
      <c r="G15" s="2">
        <v>-0.52911160000000002</v>
      </c>
      <c r="H15" s="2">
        <v>0.40567249999999999</v>
      </c>
      <c r="I15" s="2">
        <v>6.9421099999999996E-3</v>
      </c>
      <c r="J15" s="2">
        <v>58.436481000000001</v>
      </c>
      <c r="K15" s="2">
        <v>0.27995910000000002</v>
      </c>
      <c r="L15" s="2">
        <v>1</v>
      </c>
      <c r="M15" s="2">
        <v>34</v>
      </c>
      <c r="N15" s="2">
        <v>0.60016575000000005</v>
      </c>
      <c r="O15" s="2" t="b">
        <f t="shared" si="0"/>
        <v>0</v>
      </c>
      <c r="P15" s="2" t="s">
        <v>104</v>
      </c>
    </row>
    <row r="16" spans="1:16" x14ac:dyDescent="0.2">
      <c r="A16" s="2" t="s">
        <v>42</v>
      </c>
      <c r="B16" t="s">
        <v>76</v>
      </c>
      <c r="C16" t="s">
        <v>77</v>
      </c>
      <c r="D16" s="3">
        <v>5.0399999999999999E-5</v>
      </c>
      <c r="E16" s="2">
        <v>2.7221999999999999E-4</v>
      </c>
      <c r="F16" s="2">
        <v>6.7802100000000001E-3</v>
      </c>
      <c r="G16" s="2">
        <v>4.014968E-2</v>
      </c>
      <c r="H16" s="2">
        <v>0.40177439999999998</v>
      </c>
      <c r="I16" s="2">
        <v>8.2485700000000002E-3</v>
      </c>
      <c r="J16" s="2">
        <v>48.7083941</v>
      </c>
      <c r="K16" s="2">
        <v>1.6119999999999999E-3</v>
      </c>
      <c r="L16" s="2">
        <v>1</v>
      </c>
      <c r="M16" s="2">
        <v>32</v>
      </c>
      <c r="N16" s="2">
        <v>0.96822324999999998</v>
      </c>
      <c r="O16" s="2" t="b">
        <f t="shared" si="0"/>
        <v>0</v>
      </c>
      <c r="P16" s="2" t="s">
        <v>104</v>
      </c>
    </row>
    <row r="17" spans="1:16" x14ac:dyDescent="0.2">
      <c r="A17" s="2" t="s">
        <v>52</v>
      </c>
      <c r="B17" t="s">
        <v>76</v>
      </c>
      <c r="C17" t="s">
        <v>77</v>
      </c>
      <c r="D17" s="2">
        <v>7.5626910000000006E-2</v>
      </c>
      <c r="E17" s="2">
        <v>-8.1994000000000008E-3</v>
      </c>
      <c r="F17" s="2">
        <v>4.5902699999999996E-3</v>
      </c>
      <c r="G17" s="2">
        <v>-1.7862688</v>
      </c>
      <c r="H17" s="2">
        <v>0.41253515000000002</v>
      </c>
      <c r="I17" s="2">
        <v>5.8673600000000003E-3</v>
      </c>
      <c r="J17" s="2">
        <v>70.310214099999996</v>
      </c>
      <c r="K17" s="2">
        <v>3.1907564000000002</v>
      </c>
      <c r="L17" s="2">
        <v>1</v>
      </c>
      <c r="M17" s="2">
        <v>39</v>
      </c>
      <c r="N17" s="2">
        <v>8.1832089999999996E-2</v>
      </c>
      <c r="O17" s="2" t="b">
        <f t="shared" si="0"/>
        <v>0</v>
      </c>
      <c r="P17" s="2" t="s">
        <v>104</v>
      </c>
    </row>
    <row r="18" spans="1:16" x14ac:dyDescent="0.2">
      <c r="A18" s="2" t="s">
        <v>54</v>
      </c>
      <c r="B18" t="s">
        <v>76</v>
      </c>
      <c r="C18" t="s">
        <v>77</v>
      </c>
      <c r="D18" s="3">
        <v>3.2400000000000001E-5</v>
      </c>
      <c r="E18" s="2">
        <v>-1.9819999999999999E-4</v>
      </c>
      <c r="F18" s="2">
        <v>5.8831899999999999E-3</v>
      </c>
      <c r="G18" s="2">
        <v>-3.3687399999999999E-2</v>
      </c>
      <c r="H18" s="2">
        <v>0.40151530000000002</v>
      </c>
      <c r="I18" s="2">
        <v>7.3552299999999999E-3</v>
      </c>
      <c r="J18" s="2">
        <v>54.589064800000003</v>
      </c>
      <c r="K18" s="2">
        <v>1.13484E-3</v>
      </c>
      <c r="L18" s="2">
        <v>1</v>
      </c>
      <c r="M18" s="2">
        <v>35</v>
      </c>
      <c r="N18" s="2">
        <v>0.97331783999999999</v>
      </c>
      <c r="O18" s="2" t="b">
        <f t="shared" si="0"/>
        <v>0</v>
      </c>
      <c r="P18" s="2" t="s">
        <v>104</v>
      </c>
    </row>
    <row r="19" spans="1:16" x14ac:dyDescent="0.2">
      <c r="A19" s="2" t="s">
        <v>59</v>
      </c>
      <c r="B19" t="s">
        <v>76</v>
      </c>
      <c r="C19" t="s">
        <v>77</v>
      </c>
      <c r="D19" s="2">
        <v>0.11544458</v>
      </c>
      <c r="E19" s="2">
        <v>-1.5822599999999999E-2</v>
      </c>
      <c r="F19" s="2">
        <v>7.4031899999999996E-3</v>
      </c>
      <c r="G19" s="2">
        <v>-2.1372646</v>
      </c>
      <c r="H19" s="2">
        <v>0.42362191999999999</v>
      </c>
      <c r="I19" s="2">
        <v>9.2594300000000008E-3</v>
      </c>
      <c r="J19" s="2">
        <v>45.750318999999998</v>
      </c>
      <c r="K19" s="2">
        <v>4.5678997600000004</v>
      </c>
      <c r="L19" s="2">
        <v>1</v>
      </c>
      <c r="M19" s="2">
        <v>35</v>
      </c>
      <c r="N19" s="2">
        <v>3.9640870000000002E-2</v>
      </c>
      <c r="O19" s="2" t="b">
        <f t="shared" si="0"/>
        <v>0</v>
      </c>
      <c r="P19" s="2" t="s">
        <v>104</v>
      </c>
    </row>
    <row r="20" spans="1:16" x14ac:dyDescent="0.2">
      <c r="A20" s="2" t="s">
        <v>61</v>
      </c>
      <c r="B20" t="s">
        <v>76</v>
      </c>
      <c r="C20" t="s">
        <v>77</v>
      </c>
      <c r="D20" s="2">
        <v>5.019171E-2</v>
      </c>
      <c r="E20" s="2">
        <v>-7.7780000000000002E-3</v>
      </c>
      <c r="F20" s="2">
        <v>5.7191999999999998E-3</v>
      </c>
      <c r="G20" s="2">
        <v>-1.3599785</v>
      </c>
      <c r="H20" s="2">
        <v>0.41442190000000001</v>
      </c>
      <c r="I20" s="2">
        <v>7.1505600000000002E-3</v>
      </c>
      <c r="J20" s="2">
        <v>57.956558000000001</v>
      </c>
      <c r="K20" s="2">
        <v>1.8495415900000001</v>
      </c>
      <c r="L20" s="2">
        <v>1</v>
      </c>
      <c r="M20" s="2">
        <v>35</v>
      </c>
      <c r="N20" s="2">
        <v>0.1825331</v>
      </c>
      <c r="O20" s="2" t="b">
        <f t="shared" si="0"/>
        <v>0</v>
      </c>
      <c r="P20" s="2" t="s">
        <v>104</v>
      </c>
    </row>
    <row r="21" spans="1:16" x14ac:dyDescent="0.2">
      <c r="A21" s="2" t="s">
        <v>63</v>
      </c>
      <c r="B21" t="s">
        <v>76</v>
      </c>
      <c r="C21" t="s">
        <v>77</v>
      </c>
      <c r="D21" s="2">
        <v>2.1507399999999999E-3</v>
      </c>
      <c r="E21" s="2">
        <v>2.1526499999999999E-3</v>
      </c>
      <c r="F21" s="2">
        <v>7.3313199999999997E-3</v>
      </c>
      <c r="G21" s="2">
        <v>0.29362400999999999</v>
      </c>
      <c r="H21" s="2">
        <v>0.40028935999999998</v>
      </c>
      <c r="I21" s="2">
        <v>9.4957700000000006E-3</v>
      </c>
      <c r="J21" s="2">
        <v>42.1544813</v>
      </c>
      <c r="K21" s="2">
        <v>8.6215059999999996E-2</v>
      </c>
      <c r="L21" s="2">
        <v>1</v>
      </c>
      <c r="M21" s="2">
        <v>40</v>
      </c>
      <c r="N21" s="2">
        <v>0.77056336999999997</v>
      </c>
      <c r="O21" s="2" t="b">
        <f t="shared" si="0"/>
        <v>0</v>
      </c>
      <c r="P21" s="2" t="s">
        <v>104</v>
      </c>
    </row>
    <row r="22" spans="1:16" x14ac:dyDescent="0.2">
      <c r="A22" s="2" t="s">
        <v>67</v>
      </c>
      <c r="B22" t="s">
        <v>76</v>
      </c>
      <c r="C22" t="s">
        <v>77</v>
      </c>
      <c r="D22" s="2">
        <v>7.1504960000000006E-2</v>
      </c>
      <c r="E22" s="2">
        <v>-8.5684000000000003E-3</v>
      </c>
      <c r="F22" s="2">
        <v>4.9441399999999996E-3</v>
      </c>
      <c r="G22" s="2">
        <v>-1.7330479999999999</v>
      </c>
      <c r="H22" s="2">
        <v>0.41450239999999999</v>
      </c>
      <c r="I22" s="2">
        <v>6.3141300000000003E-3</v>
      </c>
      <c r="J22" s="2">
        <v>65.646844599999994</v>
      </c>
      <c r="K22" s="2">
        <v>3.0034555200000002</v>
      </c>
      <c r="L22" s="2">
        <v>1</v>
      </c>
      <c r="M22" s="2">
        <v>39</v>
      </c>
      <c r="N22" s="2">
        <v>9.0988659999999999E-2</v>
      </c>
      <c r="O22" s="2" t="b">
        <f t="shared" si="0"/>
        <v>0</v>
      </c>
      <c r="P22" s="2" t="s">
        <v>104</v>
      </c>
    </row>
    <row r="23" spans="1:16" x14ac:dyDescent="0.2">
      <c r="A23" s="2" t="s">
        <v>17</v>
      </c>
      <c r="B23" t="s">
        <v>78</v>
      </c>
      <c r="C23" t="s">
        <v>79</v>
      </c>
      <c r="D23" s="2">
        <v>0.1104657</v>
      </c>
      <c r="E23" s="2">
        <v>-1.37673E-2</v>
      </c>
      <c r="F23" s="2">
        <v>5.8896499999999997E-3</v>
      </c>
      <c r="G23" s="2">
        <v>-2.3375382</v>
      </c>
      <c r="H23" s="2">
        <v>0.4231683</v>
      </c>
      <c r="I23" s="2">
        <v>7.8126900000000006E-3</v>
      </c>
      <c r="J23" s="2">
        <v>54.164250799999998</v>
      </c>
      <c r="K23" s="2">
        <v>5.4640846999999999</v>
      </c>
      <c r="L23" s="2">
        <v>1</v>
      </c>
      <c r="M23" s="2">
        <v>44</v>
      </c>
      <c r="N23" s="2">
        <v>2.4024050000000002E-2</v>
      </c>
      <c r="O23" s="2" t="b">
        <f t="shared" si="0"/>
        <v>0</v>
      </c>
      <c r="P23" s="2" t="s">
        <v>104</v>
      </c>
    </row>
    <row r="24" spans="1:16" x14ac:dyDescent="0.2">
      <c r="A24" s="2" t="s">
        <v>21</v>
      </c>
      <c r="B24" t="s">
        <v>78</v>
      </c>
      <c r="C24" t="s">
        <v>79</v>
      </c>
      <c r="D24" s="2">
        <v>6.9698299999999998E-3</v>
      </c>
      <c r="E24" s="2">
        <v>-3.4635999999999998E-3</v>
      </c>
      <c r="F24" s="2">
        <v>6.3793799999999996E-3</v>
      </c>
      <c r="G24" s="2">
        <v>-0.54294319999999996</v>
      </c>
      <c r="H24" s="2">
        <v>0.41224248000000002</v>
      </c>
      <c r="I24" s="2">
        <v>8.3845699999999992E-3</v>
      </c>
      <c r="J24" s="2">
        <v>49.166811899999999</v>
      </c>
      <c r="K24" s="2">
        <v>0.29478727999999998</v>
      </c>
      <c r="L24" s="2">
        <v>1</v>
      </c>
      <c r="M24" s="2">
        <v>42</v>
      </c>
      <c r="N24" s="2">
        <v>0.59003888000000004</v>
      </c>
      <c r="O24" s="2" t="b">
        <f t="shared" si="0"/>
        <v>0</v>
      </c>
      <c r="P24" s="2" t="s">
        <v>104</v>
      </c>
    </row>
    <row r="25" spans="1:16" x14ac:dyDescent="0.2">
      <c r="A25" s="2" t="s">
        <v>23</v>
      </c>
      <c r="B25" t="s">
        <v>78</v>
      </c>
      <c r="C25" t="s">
        <v>79</v>
      </c>
      <c r="D25" s="2">
        <v>1.955136E-2</v>
      </c>
      <c r="E25" s="2">
        <v>-5.7768999999999997E-3</v>
      </c>
      <c r="F25" s="2">
        <v>6.2385399999999999E-3</v>
      </c>
      <c r="G25" s="2">
        <v>-0.9259984</v>
      </c>
      <c r="H25" s="2">
        <v>0.41404497000000001</v>
      </c>
      <c r="I25" s="2">
        <v>8.2205899999999998E-3</v>
      </c>
      <c r="J25" s="2">
        <v>50.366822800000001</v>
      </c>
      <c r="K25" s="2">
        <v>0.85747311999999998</v>
      </c>
      <c r="L25" s="2">
        <v>1</v>
      </c>
      <c r="M25" s="2">
        <v>43</v>
      </c>
      <c r="N25" s="2">
        <v>0.35961497999999997</v>
      </c>
      <c r="O25" s="2" t="b">
        <f t="shared" si="0"/>
        <v>0</v>
      </c>
      <c r="P25" s="2" t="s">
        <v>104</v>
      </c>
    </row>
    <row r="26" spans="1:16" x14ac:dyDescent="0.2">
      <c r="A26" s="2" t="s">
        <v>27</v>
      </c>
      <c r="B26" t="s">
        <v>78</v>
      </c>
      <c r="C26" t="s">
        <v>79</v>
      </c>
      <c r="D26" s="2">
        <v>1.4950300000000001E-3</v>
      </c>
      <c r="E26" s="2">
        <v>-1.451E-3</v>
      </c>
      <c r="F26" s="2">
        <v>5.7860799999999999E-3</v>
      </c>
      <c r="G26" s="2">
        <v>-0.25076910000000002</v>
      </c>
      <c r="H26" s="2">
        <v>0.40714942999999998</v>
      </c>
      <c r="I26" s="2">
        <v>7.5778399999999997E-3</v>
      </c>
      <c r="J26" s="2">
        <v>53.728922599999997</v>
      </c>
      <c r="K26" s="2">
        <v>6.2885120000000003E-2</v>
      </c>
      <c r="L26" s="2">
        <v>1</v>
      </c>
      <c r="M26" s="2">
        <v>42</v>
      </c>
      <c r="N26" s="2">
        <v>0.80321542000000001</v>
      </c>
      <c r="O26" s="2" t="b">
        <f t="shared" si="0"/>
        <v>0</v>
      </c>
      <c r="P26" s="2" t="s">
        <v>104</v>
      </c>
    </row>
    <row r="27" spans="1:16" x14ac:dyDescent="0.2">
      <c r="A27" s="2" t="s">
        <v>33</v>
      </c>
      <c r="B27" t="s">
        <v>78</v>
      </c>
      <c r="C27" t="s">
        <v>79</v>
      </c>
      <c r="D27" s="2">
        <v>1.474891E-2</v>
      </c>
      <c r="E27" s="2">
        <v>-4.6382999999999997E-3</v>
      </c>
      <c r="F27" s="2">
        <v>5.9940599999999998E-3</v>
      </c>
      <c r="G27" s="2">
        <v>-0.7738138</v>
      </c>
      <c r="H27" s="2">
        <v>0.41501573000000003</v>
      </c>
      <c r="I27" s="2">
        <v>7.7045999999999998E-3</v>
      </c>
      <c r="J27" s="2">
        <v>53.865941300000003</v>
      </c>
      <c r="K27" s="2">
        <v>0.59878783000000002</v>
      </c>
      <c r="L27" s="2">
        <v>1</v>
      </c>
      <c r="M27" s="2">
        <v>40</v>
      </c>
      <c r="N27" s="2">
        <v>0.44359046000000002</v>
      </c>
      <c r="O27" s="2" t="b">
        <f t="shared" si="0"/>
        <v>0</v>
      </c>
      <c r="P27" s="2" t="s">
        <v>104</v>
      </c>
    </row>
    <row r="28" spans="1:16" x14ac:dyDescent="0.2">
      <c r="A28" s="2" t="s">
        <v>40</v>
      </c>
      <c r="B28" t="s">
        <v>78</v>
      </c>
      <c r="C28" t="s">
        <v>79</v>
      </c>
      <c r="D28" s="2">
        <v>5.214912E-2</v>
      </c>
      <c r="E28" s="2">
        <v>1.038244E-2</v>
      </c>
      <c r="F28" s="2">
        <v>6.9128000000000002E-3</v>
      </c>
      <c r="G28" s="2">
        <v>1.5019152099999999</v>
      </c>
      <c r="H28" s="2">
        <v>0.39392189999999999</v>
      </c>
      <c r="I28" s="2">
        <v>8.9691600000000003E-3</v>
      </c>
      <c r="J28" s="2">
        <v>43.919599300000002</v>
      </c>
      <c r="K28" s="2">
        <v>2.2557493100000001</v>
      </c>
      <c r="L28" s="2">
        <v>1</v>
      </c>
      <c r="M28" s="2">
        <v>41</v>
      </c>
      <c r="N28" s="2">
        <v>0.14078230999999999</v>
      </c>
      <c r="O28" s="2" t="b">
        <f t="shared" si="0"/>
        <v>0</v>
      </c>
      <c r="P28" s="2" t="s">
        <v>104</v>
      </c>
    </row>
    <row r="29" spans="1:16" x14ac:dyDescent="0.2">
      <c r="A29" s="2" t="s">
        <v>41</v>
      </c>
      <c r="B29" t="s">
        <v>78</v>
      </c>
      <c r="C29" t="s">
        <v>79</v>
      </c>
      <c r="D29" s="2">
        <v>5.7159200000000002E-3</v>
      </c>
      <c r="E29" s="2">
        <v>-2.9602999999999999E-3</v>
      </c>
      <c r="F29" s="2">
        <v>6.2519100000000003E-3</v>
      </c>
      <c r="G29" s="2">
        <v>-0.47349999999999998</v>
      </c>
      <c r="H29" s="2">
        <v>0.41259773999999999</v>
      </c>
      <c r="I29" s="2">
        <v>8.0533600000000007E-3</v>
      </c>
      <c r="J29" s="2">
        <v>51.232977499999997</v>
      </c>
      <c r="K29" s="2">
        <v>0.22420221000000001</v>
      </c>
      <c r="L29" s="2">
        <v>1</v>
      </c>
      <c r="M29" s="2">
        <v>39</v>
      </c>
      <c r="N29" s="2">
        <v>0.63849639000000002</v>
      </c>
      <c r="O29" s="2" t="b">
        <f t="shared" si="0"/>
        <v>0</v>
      </c>
      <c r="P29" s="2" t="s">
        <v>104</v>
      </c>
    </row>
    <row r="30" spans="1:16" x14ac:dyDescent="0.2">
      <c r="A30" s="2" t="s">
        <v>50</v>
      </c>
      <c r="B30" t="s">
        <v>78</v>
      </c>
      <c r="C30" t="s">
        <v>79</v>
      </c>
      <c r="D30" s="2">
        <v>1.15442E-3</v>
      </c>
      <c r="E30" s="2">
        <v>-1.1397E-3</v>
      </c>
      <c r="F30" s="2">
        <v>5.1122499999999996E-3</v>
      </c>
      <c r="G30" s="2">
        <v>-0.2229293</v>
      </c>
      <c r="H30" s="2">
        <v>0.41027963000000001</v>
      </c>
      <c r="I30" s="2">
        <v>6.7303600000000003E-3</v>
      </c>
      <c r="J30" s="2">
        <v>60.9595652</v>
      </c>
      <c r="K30" s="2">
        <v>4.9697480000000002E-2</v>
      </c>
      <c r="L30" s="2">
        <v>1</v>
      </c>
      <c r="M30" s="2">
        <v>43</v>
      </c>
      <c r="N30" s="2">
        <v>0.82464612999999998</v>
      </c>
      <c r="O30" s="2" t="b">
        <f t="shared" si="0"/>
        <v>0</v>
      </c>
      <c r="P30" s="2" t="s">
        <v>104</v>
      </c>
    </row>
    <row r="31" spans="1:16" x14ac:dyDescent="0.2">
      <c r="A31" s="2" t="s">
        <v>56</v>
      </c>
      <c r="B31" t="s">
        <v>78</v>
      </c>
      <c r="C31" t="s">
        <v>79</v>
      </c>
      <c r="D31" s="2">
        <v>3.2744499999999999E-3</v>
      </c>
      <c r="E31" s="2">
        <v>-2.4066000000000001E-3</v>
      </c>
      <c r="F31" s="2">
        <v>6.4789299999999999E-3</v>
      </c>
      <c r="G31" s="2">
        <v>-0.37145499999999998</v>
      </c>
      <c r="H31" s="2">
        <v>0.41012657000000002</v>
      </c>
      <c r="I31" s="2">
        <v>8.5115399999999997E-3</v>
      </c>
      <c r="J31" s="2">
        <v>48.184759100000001</v>
      </c>
      <c r="K31" s="2">
        <v>0.13797878999999999</v>
      </c>
      <c r="L31" s="2">
        <v>1</v>
      </c>
      <c r="M31" s="2">
        <v>42</v>
      </c>
      <c r="N31" s="2">
        <v>0.71216604999999999</v>
      </c>
      <c r="O31" s="2" t="b">
        <f t="shared" si="0"/>
        <v>0</v>
      </c>
      <c r="P31" s="2" t="s">
        <v>104</v>
      </c>
    </row>
    <row r="32" spans="1:16" x14ac:dyDescent="0.2">
      <c r="A32" s="2" t="s">
        <v>64</v>
      </c>
      <c r="B32" t="s">
        <v>78</v>
      </c>
      <c r="C32" t="s">
        <v>79</v>
      </c>
      <c r="D32" s="2">
        <v>1.4941900000000001E-3</v>
      </c>
      <c r="E32" s="2">
        <v>1.3461E-3</v>
      </c>
      <c r="F32" s="2">
        <v>5.3693899999999999E-3</v>
      </c>
      <c r="G32" s="2">
        <v>0.25069876000000002</v>
      </c>
      <c r="H32" s="2">
        <v>0.40919379</v>
      </c>
      <c r="I32" s="2">
        <v>6.9899699999999999E-3</v>
      </c>
      <c r="J32" s="2">
        <v>58.540115100000001</v>
      </c>
      <c r="K32" s="2">
        <v>6.2849870000000002E-2</v>
      </c>
      <c r="L32" s="2">
        <v>1</v>
      </c>
      <c r="M32" s="2">
        <v>42</v>
      </c>
      <c r="N32" s="2">
        <v>0.80326942000000001</v>
      </c>
      <c r="O32" s="2" t="b">
        <f t="shared" si="0"/>
        <v>0</v>
      </c>
      <c r="P32" s="2" t="s">
        <v>104</v>
      </c>
    </row>
    <row r="33" spans="1:16" x14ac:dyDescent="0.2">
      <c r="A33" s="2" t="s">
        <v>13</v>
      </c>
      <c r="B33" t="s">
        <v>78</v>
      </c>
      <c r="C33" t="s">
        <v>80</v>
      </c>
      <c r="D33" s="2">
        <v>5.041429E-2</v>
      </c>
      <c r="E33" s="2">
        <v>-9.6145999999999992E-3</v>
      </c>
      <c r="F33" s="2">
        <v>6.3633500000000003E-3</v>
      </c>
      <c r="G33" s="2">
        <v>-1.5109287</v>
      </c>
      <c r="H33" s="2">
        <v>0.42511661000000001</v>
      </c>
      <c r="I33" s="2">
        <v>8.3517599999999997E-3</v>
      </c>
      <c r="J33" s="2">
        <v>50.901426200000003</v>
      </c>
      <c r="K33" s="2">
        <v>2.28290565</v>
      </c>
      <c r="L33" s="2">
        <v>1</v>
      </c>
      <c r="M33" s="2">
        <v>43</v>
      </c>
      <c r="N33" s="2">
        <v>0.1381212</v>
      </c>
      <c r="O33" s="2" t="b">
        <f t="shared" si="0"/>
        <v>0</v>
      </c>
      <c r="P33" s="2" t="s">
        <v>104</v>
      </c>
    </row>
    <row r="34" spans="1:16" x14ac:dyDescent="0.2">
      <c r="A34" s="2" t="s">
        <v>20</v>
      </c>
      <c r="B34" t="s">
        <v>78</v>
      </c>
      <c r="C34" t="s">
        <v>80</v>
      </c>
      <c r="D34" s="2">
        <v>2.6746570000000001E-2</v>
      </c>
      <c r="E34" s="2">
        <v>-7.1869000000000004E-3</v>
      </c>
      <c r="F34" s="2">
        <v>6.7705999999999999E-3</v>
      </c>
      <c r="G34" s="2">
        <v>-1.0614828999999999</v>
      </c>
      <c r="H34" s="2">
        <v>0.42122777</v>
      </c>
      <c r="I34" s="2">
        <v>8.7540399999999994E-3</v>
      </c>
      <c r="J34" s="2">
        <v>48.118111399999997</v>
      </c>
      <c r="K34" s="2">
        <v>1.1267459099999999</v>
      </c>
      <c r="L34" s="2">
        <v>1</v>
      </c>
      <c r="M34" s="2">
        <v>41</v>
      </c>
      <c r="N34" s="2">
        <v>0.29468337999999999</v>
      </c>
      <c r="O34" s="2" t="b">
        <f t="shared" si="0"/>
        <v>0</v>
      </c>
      <c r="P34" s="2" t="s">
        <v>104</v>
      </c>
    </row>
    <row r="35" spans="1:16" x14ac:dyDescent="0.2">
      <c r="A35" s="2" t="s">
        <v>26</v>
      </c>
      <c r="B35" t="s">
        <v>78</v>
      </c>
      <c r="C35" t="s">
        <v>80</v>
      </c>
      <c r="D35" s="2">
        <v>2.9890070000000001E-2</v>
      </c>
      <c r="E35" s="2">
        <v>-7.6439999999999998E-3</v>
      </c>
      <c r="F35" s="2">
        <v>6.5651299999999998E-3</v>
      </c>
      <c r="G35" s="2">
        <v>-1.1643386</v>
      </c>
      <c r="H35" s="2">
        <v>0.42340454</v>
      </c>
      <c r="I35" s="2">
        <v>8.6709100000000004E-3</v>
      </c>
      <c r="J35" s="2">
        <v>48.830484800000001</v>
      </c>
      <c r="K35" s="2">
        <v>1.3556844800000001</v>
      </c>
      <c r="L35" s="2">
        <v>1</v>
      </c>
      <c r="M35" s="2">
        <v>44</v>
      </c>
      <c r="N35" s="2">
        <v>0.25056129999999999</v>
      </c>
      <c r="O35" s="2" t="b">
        <f t="shared" si="0"/>
        <v>0</v>
      </c>
      <c r="P35" s="2" t="s">
        <v>104</v>
      </c>
    </row>
    <row r="36" spans="1:16" x14ac:dyDescent="0.2">
      <c r="A36" s="2" t="s">
        <v>30</v>
      </c>
      <c r="B36" t="s">
        <v>78</v>
      </c>
      <c r="C36" t="s">
        <v>80</v>
      </c>
      <c r="D36" s="2">
        <v>0.12850230000000001</v>
      </c>
      <c r="E36" s="2">
        <v>-1.6659400000000001E-2</v>
      </c>
      <c r="F36" s="2">
        <v>6.6944200000000004E-3</v>
      </c>
      <c r="G36" s="2">
        <v>-2.4885535000000001</v>
      </c>
      <c r="H36" s="2">
        <v>0.43610657000000003</v>
      </c>
      <c r="I36" s="2">
        <v>8.6941599999999994E-3</v>
      </c>
      <c r="J36" s="2">
        <v>50.1608594</v>
      </c>
      <c r="K36" s="2">
        <v>6.1928984399999996</v>
      </c>
      <c r="L36" s="2">
        <v>1</v>
      </c>
      <c r="M36" s="2">
        <v>42</v>
      </c>
      <c r="N36" s="2">
        <v>1.6876249999999999E-2</v>
      </c>
      <c r="O36" s="2" t="b">
        <f t="shared" si="0"/>
        <v>0</v>
      </c>
      <c r="P36" s="2" t="s">
        <v>104</v>
      </c>
    </row>
    <row r="37" spans="1:16" x14ac:dyDescent="0.2">
      <c r="A37" s="2" t="s">
        <v>31</v>
      </c>
      <c r="B37" t="s">
        <v>78</v>
      </c>
      <c r="C37" t="s">
        <v>80</v>
      </c>
      <c r="D37" s="2">
        <v>8.4756949999999998E-2</v>
      </c>
      <c r="E37" s="2">
        <v>-1.2404E-2</v>
      </c>
      <c r="F37" s="2">
        <v>6.1449299999999998E-3</v>
      </c>
      <c r="G37" s="2">
        <v>-2.0185791000000002</v>
      </c>
      <c r="H37" s="2">
        <v>0.42819106000000001</v>
      </c>
      <c r="I37" s="2">
        <v>8.1294999999999996E-3</v>
      </c>
      <c r="J37" s="2">
        <v>52.671234200000001</v>
      </c>
      <c r="K37" s="2">
        <v>4.0746617000000001</v>
      </c>
      <c r="L37" s="2">
        <v>1</v>
      </c>
      <c r="M37" s="2">
        <v>44</v>
      </c>
      <c r="N37" s="2">
        <v>4.9651599999999997E-2</v>
      </c>
      <c r="O37" s="2" t="b">
        <f t="shared" si="0"/>
        <v>0</v>
      </c>
      <c r="P37" s="2" t="s">
        <v>104</v>
      </c>
    </row>
    <row r="38" spans="1:16" x14ac:dyDescent="0.2">
      <c r="A38" s="2" t="s">
        <v>35</v>
      </c>
      <c r="B38" t="s">
        <v>78</v>
      </c>
      <c r="C38" t="s">
        <v>80</v>
      </c>
      <c r="D38" s="2">
        <v>7.8547450000000005E-2</v>
      </c>
      <c r="E38" s="2">
        <v>-1.1710999999999999E-2</v>
      </c>
      <c r="F38" s="2">
        <v>6.1892500000000003E-3</v>
      </c>
      <c r="G38" s="2">
        <v>-1.892144</v>
      </c>
      <c r="H38" s="2">
        <v>0.42961822</v>
      </c>
      <c r="I38" s="2">
        <v>8.0347300000000003E-3</v>
      </c>
      <c r="J38" s="2">
        <v>53.470148899999998</v>
      </c>
      <c r="K38" s="2">
        <v>3.5802090500000001</v>
      </c>
      <c r="L38" s="2">
        <v>1</v>
      </c>
      <c r="M38" s="2">
        <v>42</v>
      </c>
      <c r="N38" s="2">
        <v>6.5378870000000006E-2</v>
      </c>
      <c r="O38" s="2" t="b">
        <f t="shared" si="0"/>
        <v>0</v>
      </c>
      <c r="P38" s="2" t="s">
        <v>104</v>
      </c>
    </row>
    <row r="39" spans="1:16" x14ac:dyDescent="0.2">
      <c r="A39" s="2" t="s">
        <v>38</v>
      </c>
      <c r="B39" t="s">
        <v>78</v>
      </c>
      <c r="C39" t="s">
        <v>80</v>
      </c>
      <c r="D39" s="2">
        <v>7.1290889999999996E-2</v>
      </c>
      <c r="E39" s="2">
        <v>-1.2315400000000001E-2</v>
      </c>
      <c r="F39" s="2">
        <v>6.6261899999999997E-3</v>
      </c>
      <c r="G39" s="2">
        <v>-1.8585891999999999</v>
      </c>
      <c r="H39" s="2">
        <v>0.43022005000000002</v>
      </c>
      <c r="I39" s="2">
        <v>8.7864099999999997E-3</v>
      </c>
      <c r="J39" s="2">
        <v>48.964237199999999</v>
      </c>
      <c r="K39" s="2">
        <v>3.4543538100000002</v>
      </c>
      <c r="L39" s="2">
        <v>1</v>
      </c>
      <c r="M39" s="2">
        <v>45</v>
      </c>
      <c r="N39" s="2">
        <v>6.9633329999999993E-2</v>
      </c>
      <c r="O39" s="2" t="b">
        <f t="shared" si="0"/>
        <v>0</v>
      </c>
      <c r="P39" s="2" t="s">
        <v>104</v>
      </c>
    </row>
    <row r="40" spans="1:16" x14ac:dyDescent="0.2">
      <c r="A40" s="2" t="s">
        <v>43</v>
      </c>
      <c r="B40" t="s">
        <v>78</v>
      </c>
      <c r="C40" t="s">
        <v>80</v>
      </c>
      <c r="D40" s="2">
        <v>2.6166089999999999E-2</v>
      </c>
      <c r="E40" s="2">
        <v>-6.9661000000000002E-3</v>
      </c>
      <c r="F40" s="2">
        <v>6.3351800000000002E-3</v>
      </c>
      <c r="G40" s="2">
        <v>-1.0995961000000001</v>
      </c>
      <c r="H40" s="2">
        <v>0.42406210999999999</v>
      </c>
      <c r="I40" s="2">
        <v>8.4149499999999992E-3</v>
      </c>
      <c r="J40" s="2">
        <v>50.393911899999999</v>
      </c>
      <c r="K40" s="2">
        <v>1.2091116399999999</v>
      </c>
      <c r="L40" s="2">
        <v>1</v>
      </c>
      <c r="M40" s="2">
        <v>45</v>
      </c>
      <c r="N40" s="2">
        <v>0.27735610999999999</v>
      </c>
      <c r="O40" s="2" t="b">
        <f t="shared" si="0"/>
        <v>0</v>
      </c>
      <c r="P40" s="2" t="s">
        <v>104</v>
      </c>
    </row>
    <row r="41" spans="1:16" x14ac:dyDescent="0.2">
      <c r="A41" s="2" t="s">
        <v>71</v>
      </c>
      <c r="B41" t="s">
        <v>78</v>
      </c>
      <c r="C41" t="s">
        <v>80</v>
      </c>
      <c r="D41" s="2">
        <v>1.038655E-2</v>
      </c>
      <c r="E41" s="2">
        <v>-4.4622999999999998E-3</v>
      </c>
      <c r="F41" s="2">
        <v>6.7209599999999998E-3</v>
      </c>
      <c r="G41" s="2">
        <v>-0.66393809999999998</v>
      </c>
      <c r="H41" s="2">
        <v>0.42172166999999999</v>
      </c>
      <c r="I41" s="2">
        <v>8.7440599999999997E-3</v>
      </c>
      <c r="J41" s="2">
        <v>48.229477199999998</v>
      </c>
      <c r="K41" s="2">
        <v>0.44081382000000002</v>
      </c>
      <c r="L41" s="2">
        <v>1</v>
      </c>
      <c r="M41" s="2">
        <v>42</v>
      </c>
      <c r="N41" s="2">
        <v>0.51035843999999997</v>
      </c>
      <c r="O41" s="2" t="b">
        <f t="shared" si="0"/>
        <v>0</v>
      </c>
      <c r="P41" s="2" t="s">
        <v>104</v>
      </c>
    </row>
    <row r="42" spans="1:16" x14ac:dyDescent="0.2">
      <c r="A42" s="2" t="s">
        <v>14</v>
      </c>
      <c r="B42" t="s">
        <v>78</v>
      </c>
      <c r="C42" t="s">
        <v>81</v>
      </c>
      <c r="D42" s="2">
        <v>4.5293750000000001E-2</v>
      </c>
      <c r="E42" s="2">
        <v>-9.7630000000000008E-3</v>
      </c>
      <c r="F42" s="2">
        <v>6.8354399999999999E-3</v>
      </c>
      <c r="G42" s="2">
        <v>-1.4282968</v>
      </c>
      <c r="H42" s="2">
        <v>0.41793965</v>
      </c>
      <c r="I42" s="2">
        <v>8.9579199999999994E-3</v>
      </c>
      <c r="J42" s="2">
        <v>46.655900099999997</v>
      </c>
      <c r="K42" s="2">
        <v>2.0400318400000002</v>
      </c>
      <c r="L42" s="2">
        <v>1</v>
      </c>
      <c r="M42" s="2">
        <v>43</v>
      </c>
      <c r="N42" s="2">
        <v>0.16043006000000001</v>
      </c>
      <c r="O42" s="2" t="b">
        <f t="shared" si="0"/>
        <v>0</v>
      </c>
      <c r="P42" s="2" t="s">
        <v>104</v>
      </c>
    </row>
    <row r="43" spans="1:16" x14ac:dyDescent="0.2">
      <c r="A43" s="2" t="s">
        <v>22</v>
      </c>
      <c r="B43" t="s">
        <v>78</v>
      </c>
      <c r="C43" t="s">
        <v>81</v>
      </c>
      <c r="D43" s="2">
        <v>9.8883840000000001E-2</v>
      </c>
      <c r="E43" s="2">
        <v>-1.4910100000000001E-2</v>
      </c>
      <c r="F43" s="2">
        <v>6.8639599999999997E-3</v>
      </c>
      <c r="G43" s="2">
        <v>-2.1722334999999999</v>
      </c>
      <c r="H43" s="2">
        <v>0.42424268999999998</v>
      </c>
      <c r="I43" s="2">
        <v>9.0082900000000004E-3</v>
      </c>
      <c r="J43" s="2">
        <v>47.0947016</v>
      </c>
      <c r="K43" s="2">
        <v>4.7185983900000004</v>
      </c>
      <c r="L43" s="2">
        <v>1</v>
      </c>
      <c r="M43" s="2">
        <v>43</v>
      </c>
      <c r="N43" s="2">
        <v>3.5397339999999999E-2</v>
      </c>
      <c r="O43" s="2" t="b">
        <f t="shared" si="0"/>
        <v>0</v>
      </c>
      <c r="P43" s="2" t="s">
        <v>104</v>
      </c>
    </row>
    <row r="44" spans="1:16" x14ac:dyDescent="0.2">
      <c r="A44" s="2" t="s">
        <v>24</v>
      </c>
      <c r="B44" t="s">
        <v>78</v>
      </c>
      <c r="C44" t="s">
        <v>81</v>
      </c>
      <c r="D44" s="2">
        <v>1.504876E-2</v>
      </c>
      <c r="E44" s="2">
        <v>5.6509899999999998E-3</v>
      </c>
      <c r="F44" s="2">
        <v>6.7406599999999999E-3</v>
      </c>
      <c r="G44" s="2">
        <v>0.83834333999999999</v>
      </c>
      <c r="H44" s="2">
        <v>0.39991661000000001</v>
      </c>
      <c r="I44" s="2">
        <v>9.0355599999999998E-3</v>
      </c>
      <c r="J44" s="2">
        <v>44.260308000000002</v>
      </c>
      <c r="K44" s="2">
        <v>0.70281954999999996</v>
      </c>
      <c r="L44" s="2">
        <v>1</v>
      </c>
      <c r="M44" s="2">
        <v>46</v>
      </c>
      <c r="N44" s="2">
        <v>0.40617315999999998</v>
      </c>
      <c r="O44" s="2" t="b">
        <f t="shared" si="0"/>
        <v>0</v>
      </c>
      <c r="P44" s="2" t="s">
        <v>104</v>
      </c>
    </row>
    <row r="45" spans="1:16" x14ac:dyDescent="0.2">
      <c r="A45" s="2" t="s">
        <v>25</v>
      </c>
      <c r="B45" t="s">
        <v>78</v>
      </c>
      <c r="C45" t="s">
        <v>81</v>
      </c>
      <c r="D45" s="2">
        <v>5.7598099999999998E-3</v>
      </c>
      <c r="E45" s="2">
        <v>-3.7921000000000001E-3</v>
      </c>
      <c r="F45" s="2">
        <v>7.5977400000000004E-3</v>
      </c>
      <c r="G45" s="2">
        <v>-0.49910569999999999</v>
      </c>
      <c r="H45" s="2">
        <v>0.40991196000000002</v>
      </c>
      <c r="I45" s="2">
        <v>9.9563399999999993E-3</v>
      </c>
      <c r="J45" s="2">
        <v>41.170951799999997</v>
      </c>
      <c r="K45" s="2">
        <v>0.24910651</v>
      </c>
      <c r="L45" s="2">
        <v>1</v>
      </c>
      <c r="M45" s="2">
        <v>43</v>
      </c>
      <c r="N45" s="2">
        <v>0.62024891999999998</v>
      </c>
      <c r="O45" s="2" t="b">
        <f t="shared" si="0"/>
        <v>0</v>
      </c>
      <c r="P45" s="2" t="s">
        <v>104</v>
      </c>
    </row>
    <row r="46" spans="1:16" x14ac:dyDescent="0.2">
      <c r="A46" s="2" t="s">
        <v>28</v>
      </c>
      <c r="B46" t="s">
        <v>78</v>
      </c>
      <c r="C46" t="s">
        <v>81</v>
      </c>
      <c r="D46" s="2">
        <v>1.85063E-3</v>
      </c>
      <c r="E46" s="2">
        <v>-2.1367000000000001E-3</v>
      </c>
      <c r="F46" s="2">
        <v>7.8459199999999993E-3</v>
      </c>
      <c r="G46" s="2">
        <v>-0.27232800000000001</v>
      </c>
      <c r="H46" s="2">
        <v>0.41005014000000001</v>
      </c>
      <c r="I46" s="2">
        <v>1.0153260000000001E-2</v>
      </c>
      <c r="J46" s="2">
        <v>40.386040100000002</v>
      </c>
      <c r="K46" s="2">
        <v>7.4162569999999997E-2</v>
      </c>
      <c r="L46" s="2">
        <v>1</v>
      </c>
      <c r="M46" s="2">
        <v>40</v>
      </c>
      <c r="N46" s="2">
        <v>0.78677067000000001</v>
      </c>
      <c r="O46" s="2" t="b">
        <f t="shared" si="0"/>
        <v>0</v>
      </c>
      <c r="P46" s="2" t="s">
        <v>104</v>
      </c>
    </row>
    <row r="47" spans="1:16" x14ac:dyDescent="0.2">
      <c r="A47" s="2" t="s">
        <v>44</v>
      </c>
      <c r="B47" t="s">
        <v>78</v>
      </c>
      <c r="C47" t="s">
        <v>81</v>
      </c>
      <c r="D47" s="2">
        <v>1.5927159999999999E-2</v>
      </c>
      <c r="E47" s="2">
        <v>-6.3435999999999996E-3</v>
      </c>
      <c r="F47" s="2">
        <v>7.5171999999999999E-3</v>
      </c>
      <c r="G47" s="2">
        <v>-0.84388229999999997</v>
      </c>
      <c r="H47" s="2">
        <v>0.41309787999999997</v>
      </c>
      <c r="I47" s="2">
        <v>9.95009E-3</v>
      </c>
      <c r="J47" s="2">
        <v>41.516982599999999</v>
      </c>
      <c r="K47" s="2">
        <v>0.71213738000000004</v>
      </c>
      <c r="L47" s="2">
        <v>1</v>
      </c>
      <c r="M47" s="2">
        <v>44</v>
      </c>
      <c r="N47" s="2">
        <v>0.40329994000000002</v>
      </c>
      <c r="O47" s="2" t="b">
        <f t="shared" si="0"/>
        <v>0</v>
      </c>
      <c r="P47" s="2" t="s">
        <v>104</v>
      </c>
    </row>
    <row r="48" spans="1:16" x14ac:dyDescent="0.2">
      <c r="A48" s="2" t="s">
        <v>51</v>
      </c>
      <c r="B48" t="s">
        <v>78</v>
      </c>
      <c r="C48" t="s">
        <v>81</v>
      </c>
      <c r="D48" s="2">
        <v>4.0083599999999997E-2</v>
      </c>
      <c r="E48" s="2">
        <v>-1.32531E-2</v>
      </c>
      <c r="F48" s="2">
        <v>9.7774400000000001E-3</v>
      </c>
      <c r="G48" s="2">
        <v>-1.3554796</v>
      </c>
      <c r="H48" s="2">
        <v>0.42744565000000001</v>
      </c>
      <c r="I48" s="2">
        <v>1.294089E-2</v>
      </c>
      <c r="J48" s="2">
        <v>33.0306225</v>
      </c>
      <c r="K48" s="2">
        <v>1.83732506</v>
      </c>
      <c r="L48" s="2">
        <v>1</v>
      </c>
      <c r="M48" s="2">
        <v>44</v>
      </c>
      <c r="N48" s="2">
        <v>0.18218219999999999</v>
      </c>
      <c r="O48" s="2" t="b">
        <f t="shared" si="0"/>
        <v>0</v>
      </c>
      <c r="P48" s="2" t="s">
        <v>104</v>
      </c>
    </row>
    <row r="49" spans="1:16" x14ac:dyDescent="0.2">
      <c r="A49" s="2" t="s">
        <v>57</v>
      </c>
      <c r="B49" t="s">
        <v>78</v>
      </c>
      <c r="C49" t="s">
        <v>81</v>
      </c>
      <c r="D49" s="2">
        <v>1.6865939999999999E-2</v>
      </c>
      <c r="E49" s="2">
        <v>-7.0277999999999998E-3</v>
      </c>
      <c r="F49" s="2">
        <v>8.1824900000000006E-3</v>
      </c>
      <c r="G49" s="2">
        <v>-0.85888120000000001</v>
      </c>
      <c r="H49" s="2">
        <v>0.41569137</v>
      </c>
      <c r="I49" s="2">
        <v>1.076154E-2</v>
      </c>
      <c r="J49" s="2">
        <v>38.627495199999998</v>
      </c>
      <c r="K49" s="2">
        <v>0.73767687999999998</v>
      </c>
      <c r="L49" s="2">
        <v>1</v>
      </c>
      <c r="M49" s="2">
        <v>43</v>
      </c>
      <c r="N49" s="2">
        <v>0.39516880999999998</v>
      </c>
      <c r="O49" s="2" t="b">
        <f t="shared" si="0"/>
        <v>0</v>
      </c>
      <c r="P49" s="2" t="s">
        <v>104</v>
      </c>
    </row>
    <row r="50" spans="1:16" x14ac:dyDescent="0.2">
      <c r="A50" s="2" t="s">
        <v>60</v>
      </c>
      <c r="B50" t="s">
        <v>78</v>
      </c>
      <c r="C50" t="s">
        <v>81</v>
      </c>
      <c r="D50" s="2">
        <v>0.13906104</v>
      </c>
      <c r="E50" s="2">
        <v>-1.72906E-2</v>
      </c>
      <c r="F50" s="2">
        <v>6.6384900000000004E-3</v>
      </c>
      <c r="G50" s="2">
        <v>-2.6046010000000002</v>
      </c>
      <c r="H50" s="2">
        <v>0.42627924</v>
      </c>
      <c r="I50" s="2">
        <v>8.68676E-3</v>
      </c>
      <c r="J50" s="2">
        <v>49.072266800000001</v>
      </c>
      <c r="K50" s="2">
        <v>6.7839463899999997</v>
      </c>
      <c r="L50" s="2">
        <v>1</v>
      </c>
      <c r="M50" s="2">
        <v>42</v>
      </c>
      <c r="N50" s="2">
        <v>1.266545E-2</v>
      </c>
      <c r="O50" s="2" t="b">
        <f t="shared" si="0"/>
        <v>0</v>
      </c>
      <c r="P50" s="2" t="s">
        <v>104</v>
      </c>
    </row>
    <row r="51" spans="1:16" x14ac:dyDescent="0.2">
      <c r="A51" s="2" t="s">
        <v>70</v>
      </c>
      <c r="B51" t="s">
        <v>78</v>
      </c>
      <c r="C51" t="s">
        <v>81</v>
      </c>
      <c r="D51" s="2">
        <v>9.5361840000000003E-2</v>
      </c>
      <c r="E51" s="2">
        <v>-1.4242599999999999E-2</v>
      </c>
      <c r="F51" s="2">
        <v>6.7688599999999998E-3</v>
      </c>
      <c r="G51" s="2">
        <v>-2.1041392999999999</v>
      </c>
      <c r="H51" s="2">
        <v>0.42303793000000001</v>
      </c>
      <c r="I51" s="2">
        <v>8.8740299999999998E-3</v>
      </c>
      <c r="J51" s="2">
        <v>47.671474600000003</v>
      </c>
      <c r="K51" s="2">
        <v>4.4274023900000001</v>
      </c>
      <c r="L51" s="2">
        <v>1</v>
      </c>
      <c r="M51" s="2">
        <v>42</v>
      </c>
      <c r="N51" s="2">
        <v>4.1392829999999999E-2</v>
      </c>
      <c r="O51" s="2" t="b">
        <f t="shared" si="0"/>
        <v>0</v>
      </c>
      <c r="P51" s="2" t="s">
        <v>104</v>
      </c>
    </row>
    <row r="52" spans="1:16" x14ac:dyDescent="0.2">
      <c r="A52" s="2" t="s">
        <v>18</v>
      </c>
      <c r="B52" t="s">
        <v>78</v>
      </c>
      <c r="C52" t="s">
        <v>82</v>
      </c>
      <c r="D52" s="2">
        <v>3.6695E-4</v>
      </c>
      <c r="E52" s="2">
        <v>-8.4749999999999995E-4</v>
      </c>
      <c r="F52" s="2">
        <v>6.5942199999999996E-3</v>
      </c>
      <c r="G52" s="2">
        <v>-0.12852559999999999</v>
      </c>
      <c r="H52" s="2">
        <v>0.4107883</v>
      </c>
      <c r="I52" s="2">
        <v>8.8277200000000007E-3</v>
      </c>
      <c r="J52" s="2">
        <v>46.533929399999998</v>
      </c>
      <c r="K52" s="2">
        <v>1.651884E-2</v>
      </c>
      <c r="L52" s="2">
        <v>1</v>
      </c>
      <c r="M52" s="2">
        <v>45</v>
      </c>
      <c r="N52" s="2">
        <v>0.89830573000000002</v>
      </c>
      <c r="O52" s="2" t="b">
        <f t="shared" si="0"/>
        <v>0</v>
      </c>
      <c r="P52" s="2" t="s">
        <v>104</v>
      </c>
    </row>
    <row r="53" spans="1:16" x14ac:dyDescent="0.2">
      <c r="A53" s="2" t="s">
        <v>19</v>
      </c>
      <c r="B53" t="s">
        <v>78</v>
      </c>
      <c r="C53" t="s">
        <v>82</v>
      </c>
      <c r="D53" s="2">
        <v>7.1820299999999998E-3</v>
      </c>
      <c r="E53" s="2">
        <v>-3.8160999999999998E-3</v>
      </c>
      <c r="F53" s="2">
        <v>6.6153100000000001E-3</v>
      </c>
      <c r="G53" s="2">
        <v>-0.57685649999999999</v>
      </c>
      <c r="H53" s="2">
        <v>0.41402088999999997</v>
      </c>
      <c r="I53" s="2">
        <v>8.9142900000000001E-3</v>
      </c>
      <c r="J53" s="2">
        <v>46.444648200000003</v>
      </c>
      <c r="K53" s="2">
        <v>0.33276347000000001</v>
      </c>
      <c r="L53" s="2">
        <v>1</v>
      </c>
      <c r="M53" s="2">
        <v>46</v>
      </c>
      <c r="N53" s="2">
        <v>0.56684882000000003</v>
      </c>
      <c r="O53" s="2" t="b">
        <f t="shared" si="0"/>
        <v>0</v>
      </c>
      <c r="P53" s="2" t="s">
        <v>104</v>
      </c>
    </row>
    <row r="54" spans="1:16" x14ac:dyDescent="0.2">
      <c r="A54" s="2" t="s">
        <v>32</v>
      </c>
      <c r="B54" t="s">
        <v>78</v>
      </c>
      <c r="C54" t="s">
        <v>82</v>
      </c>
      <c r="D54" s="2">
        <v>5.0837800000000004E-3</v>
      </c>
      <c r="E54" s="2">
        <v>3.8531400000000001E-3</v>
      </c>
      <c r="F54" s="2">
        <v>8.12622E-3</v>
      </c>
      <c r="G54" s="2">
        <v>0.47416173</v>
      </c>
      <c r="H54" s="2">
        <v>0.40223295999999997</v>
      </c>
      <c r="I54" s="2">
        <v>1.0855999999999999E-2</v>
      </c>
      <c r="J54" s="2">
        <v>37.051680400000002</v>
      </c>
      <c r="K54" s="2">
        <v>0.22482935000000001</v>
      </c>
      <c r="L54" s="2">
        <v>1</v>
      </c>
      <c r="M54" s="2">
        <v>44</v>
      </c>
      <c r="N54" s="2">
        <v>0.63772927000000001</v>
      </c>
      <c r="O54" s="2" t="b">
        <f t="shared" si="0"/>
        <v>0</v>
      </c>
      <c r="P54" s="2" t="s">
        <v>104</v>
      </c>
    </row>
    <row r="55" spans="1:16" x14ac:dyDescent="0.2">
      <c r="A55" s="2" t="s">
        <v>36</v>
      </c>
      <c r="B55" t="s">
        <v>78</v>
      </c>
      <c r="C55" t="s">
        <v>82</v>
      </c>
      <c r="D55" s="2">
        <v>8.7294389999999999E-2</v>
      </c>
      <c r="E55" s="2">
        <v>2.6143280000000001E-2</v>
      </c>
      <c r="F55" s="2">
        <v>1.4089030000000001E-2</v>
      </c>
      <c r="G55" s="2">
        <v>1.85557737</v>
      </c>
      <c r="H55" s="2">
        <v>0.37890937000000002</v>
      </c>
      <c r="I55" s="2">
        <v>1.7718830000000001E-2</v>
      </c>
      <c r="J55" s="2">
        <v>21.384559700000001</v>
      </c>
      <c r="K55" s="2">
        <v>3.4431673699999998</v>
      </c>
      <c r="L55" s="2">
        <v>1</v>
      </c>
      <c r="M55" s="2">
        <v>36</v>
      </c>
      <c r="N55" s="2">
        <v>7.1715780000000007E-2</v>
      </c>
      <c r="O55" s="2" t="b">
        <f t="shared" si="0"/>
        <v>0</v>
      </c>
      <c r="P55" s="2" t="s">
        <v>104</v>
      </c>
    </row>
    <row r="56" spans="1:16" x14ac:dyDescent="0.2">
      <c r="A56" s="2" t="s">
        <v>47</v>
      </c>
      <c r="B56" t="s">
        <v>78</v>
      </c>
      <c r="C56" t="s">
        <v>82</v>
      </c>
      <c r="D56" s="2">
        <v>8.0159000000000003E-4</v>
      </c>
      <c r="E56" s="2">
        <v>-1.0428E-3</v>
      </c>
      <c r="F56" s="2">
        <v>5.6144400000000001E-3</v>
      </c>
      <c r="G56" s="2">
        <v>-0.1857309</v>
      </c>
      <c r="H56" s="2">
        <v>0.41419327</v>
      </c>
      <c r="I56" s="2">
        <v>7.4647400000000001E-3</v>
      </c>
      <c r="J56" s="2">
        <v>55.486637399999999</v>
      </c>
      <c r="K56" s="2">
        <v>3.4495949999999997E-2</v>
      </c>
      <c r="L56" s="2">
        <v>1</v>
      </c>
      <c r="M56" s="2">
        <v>43</v>
      </c>
      <c r="N56" s="2">
        <v>0.85352919999999999</v>
      </c>
      <c r="O56" s="2" t="b">
        <f t="shared" si="0"/>
        <v>0</v>
      </c>
      <c r="P56" s="2" t="s">
        <v>104</v>
      </c>
    </row>
    <row r="57" spans="1:16" x14ac:dyDescent="0.2">
      <c r="A57" s="2" t="s">
        <v>48</v>
      </c>
      <c r="B57" t="s">
        <v>78</v>
      </c>
      <c r="C57" t="s">
        <v>82</v>
      </c>
      <c r="D57" s="2">
        <v>3.2260400000000002E-2</v>
      </c>
      <c r="E57" s="2">
        <v>7.9950799999999999E-3</v>
      </c>
      <c r="F57" s="2">
        <v>6.6014799999999998E-3</v>
      </c>
      <c r="G57" s="2">
        <v>1.21110549</v>
      </c>
      <c r="H57" s="2">
        <v>0.39553439000000001</v>
      </c>
      <c r="I57" s="2">
        <v>8.7934499999999995E-3</v>
      </c>
      <c r="J57" s="2">
        <v>44.980591699999998</v>
      </c>
      <c r="K57" s="2">
        <v>1.46677652</v>
      </c>
      <c r="L57" s="2">
        <v>1</v>
      </c>
      <c r="M57" s="2">
        <v>44</v>
      </c>
      <c r="N57" s="2">
        <v>0.2323199</v>
      </c>
      <c r="O57" s="2" t="b">
        <f t="shared" si="0"/>
        <v>0</v>
      </c>
      <c r="P57" s="2" t="s">
        <v>104</v>
      </c>
    </row>
    <row r="58" spans="1:16" x14ac:dyDescent="0.2">
      <c r="A58" s="2" t="s">
        <v>53</v>
      </c>
      <c r="B58" t="s">
        <v>78</v>
      </c>
      <c r="C58" t="s">
        <v>82</v>
      </c>
      <c r="D58" s="2">
        <v>2.464071E-2</v>
      </c>
      <c r="E58" s="2">
        <v>1.0642499999999999E-2</v>
      </c>
      <c r="F58" s="2">
        <v>1.021093E-2</v>
      </c>
      <c r="G58" s="2">
        <v>1.0422658300000001</v>
      </c>
      <c r="H58" s="2">
        <v>0.40052395000000002</v>
      </c>
      <c r="I58" s="2">
        <v>1.3539259999999999E-2</v>
      </c>
      <c r="J58" s="2">
        <v>29.582415999999998</v>
      </c>
      <c r="K58" s="2">
        <v>1.08631805</v>
      </c>
      <c r="L58" s="2">
        <v>1</v>
      </c>
      <c r="M58" s="2">
        <v>43</v>
      </c>
      <c r="N58" s="2">
        <v>0.30311314</v>
      </c>
      <c r="O58" s="2" t="b">
        <f t="shared" si="0"/>
        <v>0</v>
      </c>
      <c r="P58" s="2" t="s">
        <v>104</v>
      </c>
    </row>
    <row r="59" spans="1:16" x14ac:dyDescent="0.2">
      <c r="A59" s="2" t="s">
        <v>55</v>
      </c>
      <c r="B59" t="s">
        <v>78</v>
      </c>
      <c r="C59" t="s">
        <v>82</v>
      </c>
      <c r="D59" s="2">
        <v>6.2724000000000005E-4</v>
      </c>
      <c r="E59" s="2">
        <v>-1.1973999999999999E-3</v>
      </c>
      <c r="F59" s="2">
        <v>7.2051299999999997E-3</v>
      </c>
      <c r="G59" s="2">
        <v>-0.16618050000000001</v>
      </c>
      <c r="H59" s="2">
        <v>0.40675667999999998</v>
      </c>
      <c r="I59" s="2">
        <v>9.5580600000000002E-3</v>
      </c>
      <c r="J59" s="2">
        <v>42.556392500000001</v>
      </c>
      <c r="K59" s="2">
        <v>2.761597E-2</v>
      </c>
      <c r="L59" s="2">
        <v>1</v>
      </c>
      <c r="M59" s="2">
        <v>44</v>
      </c>
      <c r="N59" s="2">
        <v>0.86877616000000002</v>
      </c>
      <c r="O59" s="2" t="b">
        <f t="shared" si="0"/>
        <v>0</v>
      </c>
      <c r="P59" s="2" t="s">
        <v>104</v>
      </c>
    </row>
    <row r="60" spans="1:16" x14ac:dyDescent="0.2">
      <c r="A60" s="2" t="s">
        <v>68</v>
      </c>
      <c r="B60" t="s">
        <v>78</v>
      </c>
      <c r="C60" t="s">
        <v>82</v>
      </c>
      <c r="D60" s="2">
        <v>1.46569E-3</v>
      </c>
      <c r="E60" s="2">
        <v>3.34498E-3</v>
      </c>
      <c r="F60" s="2">
        <v>1.3162149999999999E-2</v>
      </c>
      <c r="G60" s="2">
        <v>0.25413597999999998</v>
      </c>
      <c r="H60" s="2">
        <v>0.40856516999999998</v>
      </c>
      <c r="I60" s="2">
        <v>1.7680580000000001E-2</v>
      </c>
      <c r="J60" s="2">
        <v>23.108129000000002</v>
      </c>
      <c r="K60" s="2">
        <v>6.4585100000000006E-2</v>
      </c>
      <c r="L60" s="2">
        <v>1</v>
      </c>
      <c r="M60" s="2">
        <v>44</v>
      </c>
      <c r="N60" s="2">
        <v>0.80057442000000001</v>
      </c>
      <c r="O60" s="2" t="b">
        <f t="shared" si="0"/>
        <v>0</v>
      </c>
      <c r="P60" s="2" t="s">
        <v>104</v>
      </c>
    </row>
    <row r="61" spans="1:16" x14ac:dyDescent="0.2">
      <c r="A61" s="2" t="s">
        <v>69</v>
      </c>
      <c r="B61" t="s">
        <v>78</v>
      </c>
      <c r="C61" t="s">
        <v>82</v>
      </c>
      <c r="D61" s="2">
        <v>1.2743800000000001E-3</v>
      </c>
      <c r="E61" s="2">
        <v>-1.8905E-3</v>
      </c>
      <c r="F61" s="2">
        <v>8.2650999999999992E-3</v>
      </c>
      <c r="G61" s="2">
        <v>-0.2287276</v>
      </c>
      <c r="H61" s="2">
        <v>0.40997376000000002</v>
      </c>
      <c r="I61" s="2">
        <v>1.075154E-2</v>
      </c>
      <c r="J61" s="2">
        <v>38.131619399999998</v>
      </c>
      <c r="K61" s="2">
        <v>5.2316330000000001E-2</v>
      </c>
      <c r="L61" s="2">
        <v>1</v>
      </c>
      <c r="M61" s="2">
        <v>41</v>
      </c>
      <c r="N61" s="2">
        <v>0.82021767000000001</v>
      </c>
      <c r="O61" s="2" t="b">
        <f t="shared" si="0"/>
        <v>0</v>
      </c>
      <c r="P61" s="2" t="s">
        <v>104</v>
      </c>
    </row>
  </sheetData>
  <sortState xmlns:xlrd2="http://schemas.microsoft.com/office/spreadsheetml/2017/richdata2" ref="A2:P62">
    <sortCondition ref="C2:C6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4481-B731-7749-B87E-D93752C9FA43}">
  <dimension ref="A1:P61"/>
  <sheetViews>
    <sheetView topLeftCell="A21" workbookViewId="0">
      <selection activeCell="A56" sqref="A56:XFD56"/>
    </sheetView>
  </sheetViews>
  <sheetFormatPr baseColWidth="10" defaultRowHeight="16" x14ac:dyDescent="0.2"/>
  <cols>
    <col min="1" max="1" width="54.6640625" bestFit="1" customWidth="1"/>
  </cols>
  <sheetData>
    <row r="1" spans="1:16" x14ac:dyDescent="0.2">
      <c r="A1" s="2" t="s">
        <v>0</v>
      </c>
      <c r="B1" t="s">
        <v>72</v>
      </c>
      <c r="C1" t="s">
        <v>73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108</v>
      </c>
      <c r="P1" s="2" t="s">
        <v>100</v>
      </c>
    </row>
    <row r="2" spans="1:16" x14ac:dyDescent="0.2">
      <c r="A2" s="2" t="s">
        <v>15</v>
      </c>
      <c r="B2" t="s">
        <v>74</v>
      </c>
      <c r="C2" t="s">
        <v>75</v>
      </c>
      <c r="D2" s="2">
        <v>0.11262837000000001</v>
      </c>
      <c r="E2" s="2">
        <v>-3.0980000000000001E-2</v>
      </c>
      <c r="F2" s="2">
        <v>1.172543E-2</v>
      </c>
      <c r="G2" s="2">
        <v>-2.6421196</v>
      </c>
      <c r="H2" s="2">
        <v>0.52178270000000004</v>
      </c>
      <c r="I2" s="2">
        <v>1.7097680000000001E-2</v>
      </c>
      <c r="J2" s="2">
        <v>30.517741999999998</v>
      </c>
      <c r="K2" s="2">
        <v>6.9807961799999996</v>
      </c>
      <c r="L2" s="2">
        <v>1</v>
      </c>
      <c r="M2" s="2">
        <v>55</v>
      </c>
      <c r="N2" s="2">
        <v>1.0707960000000001E-2</v>
      </c>
      <c r="O2" s="2" t="b">
        <f>N2&lt;0.01</f>
        <v>0</v>
      </c>
      <c r="P2" s="2" t="s">
        <v>103</v>
      </c>
    </row>
    <row r="3" spans="1:16" x14ac:dyDescent="0.2">
      <c r="A3" s="2" t="s">
        <v>37</v>
      </c>
      <c r="B3" t="s">
        <v>74</v>
      </c>
      <c r="C3" t="s">
        <v>75</v>
      </c>
      <c r="D3" s="2">
        <v>6.8669389999999997E-2</v>
      </c>
      <c r="E3" s="2">
        <v>-2.0489799999999999E-2</v>
      </c>
      <c r="F3" s="2">
        <v>1.008357E-2</v>
      </c>
      <c r="G3" s="2">
        <v>-2.0319999000000002</v>
      </c>
      <c r="H3" s="2">
        <v>0.50331245000000002</v>
      </c>
      <c r="I3" s="2">
        <v>1.4492659999999999E-2</v>
      </c>
      <c r="J3" s="2">
        <v>34.728788299999998</v>
      </c>
      <c r="K3" s="2">
        <v>4.1290233900000004</v>
      </c>
      <c r="L3" s="2">
        <v>1</v>
      </c>
      <c r="M3" s="2">
        <v>56</v>
      </c>
      <c r="N3" s="2">
        <v>4.690776E-2</v>
      </c>
      <c r="O3" s="2" t="b">
        <f t="shared" ref="O3:O61" si="0">N3&lt;0.01</f>
        <v>0</v>
      </c>
      <c r="P3" s="2" t="s">
        <v>103</v>
      </c>
    </row>
    <row r="4" spans="1:16" x14ac:dyDescent="0.2">
      <c r="A4" s="2" t="s">
        <v>39</v>
      </c>
      <c r="B4" t="s">
        <v>74</v>
      </c>
      <c r="C4" t="s">
        <v>75</v>
      </c>
      <c r="D4" s="2">
        <v>2.1499750000000001E-2</v>
      </c>
      <c r="E4" s="2">
        <v>-1.44221E-2</v>
      </c>
      <c r="F4" s="2">
        <v>1.375968E-2</v>
      </c>
      <c r="G4" s="2">
        <v>-1.0481446999999999</v>
      </c>
      <c r="H4" s="2">
        <v>0.49488373000000002</v>
      </c>
      <c r="I4" s="2">
        <v>1.9685620000000001E-2</v>
      </c>
      <c r="J4" s="2">
        <v>25.1393576</v>
      </c>
      <c r="K4" s="2">
        <v>1.0986073599999999</v>
      </c>
      <c r="L4" s="2">
        <v>1</v>
      </c>
      <c r="M4" s="2">
        <v>50</v>
      </c>
      <c r="N4" s="2">
        <v>0.29961221999999998</v>
      </c>
      <c r="O4" s="2" t="b">
        <f t="shared" si="0"/>
        <v>0</v>
      </c>
      <c r="P4" s="2" t="s">
        <v>103</v>
      </c>
    </row>
    <row r="5" spans="1:16" x14ac:dyDescent="0.2">
      <c r="A5" s="2" t="s">
        <v>45</v>
      </c>
      <c r="B5" t="s">
        <v>74</v>
      </c>
      <c r="C5" t="s">
        <v>75</v>
      </c>
      <c r="D5" s="2">
        <v>1.1192209999999999E-2</v>
      </c>
      <c r="E5" s="2">
        <v>-7.7364E-3</v>
      </c>
      <c r="F5" s="2">
        <v>1.0084020000000001E-2</v>
      </c>
      <c r="G5" s="2">
        <v>-0.76719119999999996</v>
      </c>
      <c r="H5" s="2">
        <v>0.48666545</v>
      </c>
      <c r="I5" s="2">
        <v>1.4574E-2</v>
      </c>
      <c r="J5" s="2">
        <v>33.392726099999997</v>
      </c>
      <c r="K5" s="2">
        <v>0.58858228999999995</v>
      </c>
      <c r="L5" s="2">
        <v>1</v>
      </c>
      <c r="M5" s="2">
        <v>52</v>
      </c>
      <c r="N5" s="2">
        <v>0.44643735000000001</v>
      </c>
      <c r="O5" s="2" t="b">
        <f t="shared" si="0"/>
        <v>0</v>
      </c>
      <c r="P5" s="2" t="s">
        <v>103</v>
      </c>
    </row>
    <row r="6" spans="1:16" x14ac:dyDescent="0.2">
      <c r="A6" s="2" t="s">
        <v>46</v>
      </c>
      <c r="B6" t="s">
        <v>74</v>
      </c>
      <c r="C6" t="s">
        <v>75</v>
      </c>
      <c r="D6" s="2">
        <v>6.4773910000000004E-2</v>
      </c>
      <c r="E6" s="2">
        <v>-2.3096800000000001E-2</v>
      </c>
      <c r="F6" s="2">
        <v>1.1943E-2</v>
      </c>
      <c r="G6" s="2">
        <v>-1.9339206</v>
      </c>
      <c r="H6" s="2">
        <v>0.50876144000000001</v>
      </c>
      <c r="I6" s="2">
        <v>1.73191E-2</v>
      </c>
      <c r="J6" s="2">
        <v>29.375734900000001</v>
      </c>
      <c r="K6" s="2">
        <v>3.7400488799999998</v>
      </c>
      <c r="L6" s="2">
        <v>1</v>
      </c>
      <c r="M6" s="2">
        <v>54</v>
      </c>
      <c r="N6" s="2">
        <v>5.837096E-2</v>
      </c>
      <c r="O6" s="2" t="b">
        <f t="shared" si="0"/>
        <v>0</v>
      </c>
      <c r="P6" s="2" t="s">
        <v>103</v>
      </c>
    </row>
    <row r="7" spans="1:16" s="7" customFormat="1" x14ac:dyDescent="0.2">
      <c r="A7" s="8" t="s">
        <v>49</v>
      </c>
      <c r="B7" s="7" t="s">
        <v>74</v>
      </c>
      <c r="C7" s="7" t="s">
        <v>75</v>
      </c>
      <c r="D7" s="8">
        <v>0.11665710999999999</v>
      </c>
      <c r="E7" s="8">
        <v>-2.53952E-2</v>
      </c>
      <c r="F7" s="8">
        <v>9.1758499999999993E-3</v>
      </c>
      <c r="G7" s="8">
        <v>-2.7676102999999999</v>
      </c>
      <c r="H7" s="8">
        <v>0.50994514000000002</v>
      </c>
      <c r="I7" s="8">
        <v>1.3488E-2</v>
      </c>
      <c r="J7" s="8">
        <v>37.807311499999997</v>
      </c>
      <c r="K7" s="8">
        <v>7.6596666799999999</v>
      </c>
      <c r="L7" s="8">
        <v>1</v>
      </c>
      <c r="M7" s="8">
        <v>58</v>
      </c>
      <c r="N7" s="8">
        <v>7.5664699999999996E-3</v>
      </c>
      <c r="O7" s="8" t="b">
        <f t="shared" si="0"/>
        <v>1</v>
      </c>
      <c r="P7" s="8" t="s">
        <v>103</v>
      </c>
    </row>
    <row r="8" spans="1:16" x14ac:dyDescent="0.2">
      <c r="A8" s="2" t="s">
        <v>58</v>
      </c>
      <c r="B8" t="s">
        <v>74</v>
      </c>
      <c r="C8" t="s">
        <v>75</v>
      </c>
      <c r="D8" s="2">
        <v>2.9358309999999999E-2</v>
      </c>
      <c r="E8" s="2">
        <v>-1.1628899999999999E-2</v>
      </c>
      <c r="F8" s="2">
        <v>9.0161200000000007E-3</v>
      </c>
      <c r="G8" s="2">
        <v>-1.2897852999999999</v>
      </c>
      <c r="H8" s="2">
        <v>0.49062997000000003</v>
      </c>
      <c r="I8" s="2">
        <v>1.326692E-2</v>
      </c>
      <c r="J8" s="2">
        <v>36.981441599999997</v>
      </c>
      <c r="K8" s="2">
        <v>1.66354606</v>
      </c>
      <c r="L8" s="2">
        <v>1</v>
      </c>
      <c r="M8" s="2">
        <v>55</v>
      </c>
      <c r="N8" s="2">
        <v>0.20252238</v>
      </c>
      <c r="O8" s="2" t="b">
        <f t="shared" si="0"/>
        <v>0</v>
      </c>
      <c r="P8" s="2" t="s">
        <v>103</v>
      </c>
    </row>
    <row r="9" spans="1:16" s="7" customFormat="1" x14ac:dyDescent="0.2">
      <c r="A9" s="8" t="s">
        <v>62</v>
      </c>
      <c r="B9" s="7" t="s">
        <v>74</v>
      </c>
      <c r="C9" s="7" t="s">
        <v>75</v>
      </c>
      <c r="D9" s="8">
        <v>0.16870953</v>
      </c>
      <c r="E9" s="8">
        <v>-3.1715300000000002E-2</v>
      </c>
      <c r="F9" s="8">
        <v>9.58029E-3</v>
      </c>
      <c r="G9" s="8">
        <v>-3.3104748000000002</v>
      </c>
      <c r="H9" s="8">
        <v>0.51965894000000001</v>
      </c>
      <c r="I9" s="8">
        <v>1.3789330000000001E-2</v>
      </c>
      <c r="J9" s="8">
        <v>37.685578700000001</v>
      </c>
      <c r="K9" s="8">
        <v>10.959243300000001</v>
      </c>
      <c r="L9" s="8">
        <v>1</v>
      </c>
      <c r="M9" s="8">
        <v>54</v>
      </c>
      <c r="N9" s="8">
        <v>1.66417E-3</v>
      </c>
      <c r="O9" s="8" t="b">
        <f t="shared" si="0"/>
        <v>1</v>
      </c>
      <c r="P9" s="8" t="s">
        <v>103</v>
      </c>
    </row>
    <row r="10" spans="1:16" x14ac:dyDescent="0.2">
      <c r="A10" s="2" t="s">
        <v>65</v>
      </c>
      <c r="B10" t="s">
        <v>74</v>
      </c>
      <c r="C10" t="s">
        <v>75</v>
      </c>
      <c r="D10" s="2">
        <v>0.10310365000000001</v>
      </c>
      <c r="E10" s="2">
        <v>-2.7101E-2</v>
      </c>
      <c r="F10" s="2">
        <v>1.1659249999999999E-2</v>
      </c>
      <c r="G10" s="2">
        <v>-2.3244210999999999</v>
      </c>
      <c r="H10" s="2">
        <v>0.51570181999999998</v>
      </c>
      <c r="I10" s="2">
        <v>1.6492179999999999E-2</v>
      </c>
      <c r="J10" s="2">
        <v>31.269484800000001</v>
      </c>
      <c r="K10" s="2">
        <v>5.4029334999999996</v>
      </c>
      <c r="L10" s="2">
        <v>1</v>
      </c>
      <c r="M10" s="2">
        <v>47</v>
      </c>
      <c r="N10" s="2">
        <v>2.4474610000000001E-2</v>
      </c>
      <c r="O10" s="2" t="b">
        <f t="shared" si="0"/>
        <v>0</v>
      </c>
      <c r="P10" s="2" t="s">
        <v>103</v>
      </c>
    </row>
    <row r="11" spans="1:16" x14ac:dyDescent="0.2">
      <c r="A11" s="2" t="s">
        <v>66</v>
      </c>
      <c r="B11" t="s">
        <v>74</v>
      </c>
      <c r="C11" t="s">
        <v>75</v>
      </c>
      <c r="D11" s="2">
        <v>5.0673870000000003E-2</v>
      </c>
      <c r="E11" s="2">
        <v>-1.8711499999999999E-2</v>
      </c>
      <c r="F11" s="2">
        <v>1.09205E-2</v>
      </c>
      <c r="G11" s="2">
        <v>-1.7134271999999999</v>
      </c>
      <c r="H11" s="2">
        <v>0.50130532999999999</v>
      </c>
      <c r="I11" s="2">
        <v>1.595686E-2</v>
      </c>
      <c r="J11" s="2">
        <v>31.4162818</v>
      </c>
      <c r="K11" s="2">
        <v>2.9358329200000002</v>
      </c>
      <c r="L11" s="2">
        <v>1</v>
      </c>
      <c r="M11" s="2">
        <v>55</v>
      </c>
      <c r="N11" s="2">
        <v>9.2265879999999995E-2</v>
      </c>
      <c r="O11" s="2" t="b">
        <f t="shared" si="0"/>
        <v>0</v>
      </c>
      <c r="P11" s="2" t="s">
        <v>103</v>
      </c>
    </row>
    <row r="12" spans="1:16" x14ac:dyDescent="0.2">
      <c r="A12" s="2" t="s">
        <v>12</v>
      </c>
      <c r="B12" t="s">
        <v>76</v>
      </c>
      <c r="C12" t="s">
        <v>77</v>
      </c>
      <c r="D12" s="2">
        <v>1.377082E-2</v>
      </c>
      <c r="E12" s="2">
        <v>-1.0976E-2</v>
      </c>
      <c r="F12" s="2">
        <v>1.1610809999999999E-2</v>
      </c>
      <c r="G12" s="2">
        <v>-0.94532459999999996</v>
      </c>
      <c r="H12" s="2">
        <v>0.49268684000000001</v>
      </c>
      <c r="I12" s="2">
        <v>1.7363170000000001E-2</v>
      </c>
      <c r="J12" s="2">
        <v>28.3753922</v>
      </c>
      <c r="K12" s="2">
        <v>0.89363866000000003</v>
      </c>
      <c r="L12" s="2">
        <v>1</v>
      </c>
      <c r="M12" s="2">
        <v>64</v>
      </c>
      <c r="N12" s="2">
        <v>0.34804857</v>
      </c>
      <c r="O12" s="2" t="b">
        <f t="shared" si="0"/>
        <v>0</v>
      </c>
      <c r="P12" s="2" t="s">
        <v>103</v>
      </c>
    </row>
    <row r="13" spans="1:16" s="7" customFormat="1" x14ac:dyDescent="0.2">
      <c r="A13" s="8" t="s">
        <v>16</v>
      </c>
      <c r="B13" s="7" t="s">
        <v>76</v>
      </c>
      <c r="C13" s="7" t="s">
        <v>77</v>
      </c>
      <c r="D13" s="8">
        <v>0.16017227000000001</v>
      </c>
      <c r="E13" s="8">
        <v>-3.0485600000000002E-2</v>
      </c>
      <c r="F13" s="8">
        <v>9.5886600000000006E-3</v>
      </c>
      <c r="G13" s="8">
        <v>-3.1793364999999998</v>
      </c>
      <c r="H13" s="8">
        <v>0.52142761000000004</v>
      </c>
      <c r="I13" s="8">
        <v>1.3753380000000001E-2</v>
      </c>
      <c r="J13" s="8">
        <v>37.912701599999998</v>
      </c>
      <c r="K13" s="8">
        <v>10.108180300000001</v>
      </c>
      <c r="L13" s="8">
        <v>1</v>
      </c>
      <c r="M13" s="8">
        <v>53</v>
      </c>
      <c r="N13" s="8">
        <v>2.4655200000000001E-3</v>
      </c>
      <c r="O13" s="8" t="b">
        <f t="shared" si="0"/>
        <v>1</v>
      </c>
      <c r="P13" s="8" t="s">
        <v>103</v>
      </c>
    </row>
    <row r="14" spans="1:16" x14ac:dyDescent="0.2">
      <c r="A14" s="2" t="s">
        <v>29</v>
      </c>
      <c r="B14" t="s">
        <v>76</v>
      </c>
      <c r="C14" t="s">
        <v>77</v>
      </c>
      <c r="D14" s="2">
        <v>2.5926020000000001E-2</v>
      </c>
      <c r="E14" s="2">
        <v>-1.33279E-2</v>
      </c>
      <c r="F14" s="2">
        <v>1.021175E-2</v>
      </c>
      <c r="G14" s="2">
        <v>-1.3051546000000001</v>
      </c>
      <c r="H14" s="2">
        <v>0.4950792</v>
      </c>
      <c r="I14" s="2">
        <v>1.533171E-2</v>
      </c>
      <c r="J14" s="2">
        <v>32.291201200000003</v>
      </c>
      <c r="K14" s="2">
        <v>1.7034286300000001</v>
      </c>
      <c r="L14" s="2">
        <v>1</v>
      </c>
      <c r="M14" s="2">
        <v>64</v>
      </c>
      <c r="N14" s="2">
        <v>0.1965132</v>
      </c>
      <c r="O14" s="2" t="b">
        <f t="shared" si="0"/>
        <v>0</v>
      </c>
      <c r="P14" s="2" t="s">
        <v>103</v>
      </c>
    </row>
    <row r="15" spans="1:16" x14ac:dyDescent="0.2">
      <c r="A15" s="2" t="s">
        <v>34</v>
      </c>
      <c r="B15" t="s">
        <v>76</v>
      </c>
      <c r="C15" t="s">
        <v>77</v>
      </c>
      <c r="D15" s="2">
        <v>6.5436040000000001E-2</v>
      </c>
      <c r="E15" s="2">
        <v>-1.7501200000000001E-2</v>
      </c>
      <c r="F15" s="2">
        <v>9.2614399999999993E-3</v>
      </c>
      <c r="G15" s="2">
        <v>-1.8896835999999999</v>
      </c>
      <c r="H15" s="2">
        <v>0.50050327999999999</v>
      </c>
      <c r="I15" s="2">
        <v>1.317042E-2</v>
      </c>
      <c r="J15" s="2">
        <v>38.002071899999997</v>
      </c>
      <c r="K15" s="2">
        <v>3.5709041099999999</v>
      </c>
      <c r="L15" s="2">
        <v>1</v>
      </c>
      <c r="M15" s="2">
        <v>51</v>
      </c>
      <c r="N15" s="2">
        <v>6.4490790000000006E-2</v>
      </c>
      <c r="O15" s="2" t="b">
        <f t="shared" si="0"/>
        <v>0</v>
      </c>
      <c r="P15" s="2" t="s">
        <v>103</v>
      </c>
    </row>
    <row r="16" spans="1:16" s="7" customFormat="1" x14ac:dyDescent="0.2">
      <c r="A16" s="8" t="s">
        <v>42</v>
      </c>
      <c r="B16" s="7" t="s">
        <v>76</v>
      </c>
      <c r="C16" s="7" t="s">
        <v>77</v>
      </c>
      <c r="D16" s="8">
        <v>0.15886433</v>
      </c>
      <c r="E16" s="8">
        <v>-3.2315400000000001E-2</v>
      </c>
      <c r="F16" s="8">
        <v>1.0026480000000001E-2</v>
      </c>
      <c r="G16" s="8">
        <v>-3.2230089</v>
      </c>
      <c r="H16" s="8">
        <v>0.51793365000000002</v>
      </c>
      <c r="I16" s="8">
        <v>1.463675E-2</v>
      </c>
      <c r="J16" s="8">
        <v>35.385843800000004</v>
      </c>
      <c r="K16" s="8">
        <v>10.3877866</v>
      </c>
      <c r="L16" s="8">
        <v>1</v>
      </c>
      <c r="M16" s="8">
        <v>55</v>
      </c>
      <c r="N16" s="8">
        <v>2.1343299999999998E-3</v>
      </c>
      <c r="O16" s="8" t="b">
        <f t="shared" si="0"/>
        <v>1</v>
      </c>
      <c r="P16" s="8" t="s">
        <v>103</v>
      </c>
    </row>
    <row r="17" spans="1:16" x14ac:dyDescent="0.2">
      <c r="A17" s="2" t="s">
        <v>52</v>
      </c>
      <c r="B17" t="s">
        <v>76</v>
      </c>
      <c r="C17" t="s">
        <v>77</v>
      </c>
      <c r="D17" s="2">
        <v>3.7437810000000002E-2</v>
      </c>
      <c r="E17" s="2">
        <v>-1.2683E-2</v>
      </c>
      <c r="F17" s="2">
        <v>7.9767499999999995E-3</v>
      </c>
      <c r="G17" s="2">
        <v>-1.5900013</v>
      </c>
      <c r="H17" s="2">
        <v>0.49414754999999999</v>
      </c>
      <c r="I17" s="2">
        <v>1.20137E-2</v>
      </c>
      <c r="J17" s="2">
        <v>41.132005800000002</v>
      </c>
      <c r="K17" s="2">
        <v>2.52810421</v>
      </c>
      <c r="L17" s="2">
        <v>1</v>
      </c>
      <c r="M17" s="2">
        <v>65</v>
      </c>
      <c r="N17" s="2">
        <v>0.11668698</v>
      </c>
      <c r="O17" s="2" t="b">
        <f t="shared" si="0"/>
        <v>0</v>
      </c>
      <c r="P17" s="2" t="s">
        <v>103</v>
      </c>
    </row>
    <row r="18" spans="1:16" s="7" customFormat="1" x14ac:dyDescent="0.2">
      <c r="A18" s="8" t="s">
        <v>54</v>
      </c>
      <c r="B18" s="7" t="s">
        <v>76</v>
      </c>
      <c r="C18" s="7" t="s">
        <v>77</v>
      </c>
      <c r="D18" s="8">
        <v>0.23098715</v>
      </c>
      <c r="E18" s="8">
        <v>-3.5312799999999998E-2</v>
      </c>
      <c r="F18" s="8">
        <v>8.6101600000000004E-3</v>
      </c>
      <c r="G18" s="8">
        <v>-4.1012960999999999</v>
      </c>
      <c r="H18" s="8">
        <v>0.52306863999999997</v>
      </c>
      <c r="I18" s="8">
        <v>1.262537E-2</v>
      </c>
      <c r="J18" s="8">
        <v>41.429973500000003</v>
      </c>
      <c r="K18" s="8">
        <v>16.820629499999999</v>
      </c>
      <c r="L18" s="8">
        <v>1</v>
      </c>
      <c r="M18" s="8">
        <v>56</v>
      </c>
      <c r="N18" s="8">
        <v>1.3430000000000001E-4</v>
      </c>
      <c r="O18" s="8" t="b">
        <f t="shared" si="0"/>
        <v>1</v>
      </c>
      <c r="P18" s="8" t="s">
        <v>103</v>
      </c>
    </row>
    <row r="19" spans="1:16" x14ac:dyDescent="0.2">
      <c r="A19" s="2" t="s">
        <v>59</v>
      </c>
      <c r="B19" t="s">
        <v>76</v>
      </c>
      <c r="C19" t="s">
        <v>77</v>
      </c>
      <c r="D19" s="2">
        <v>5.6911059999999999E-2</v>
      </c>
      <c r="E19" s="2">
        <v>-1.8373899999999999E-2</v>
      </c>
      <c r="F19" s="2">
        <v>9.9950600000000001E-3</v>
      </c>
      <c r="G19" s="2">
        <v>-1.8382985000000001</v>
      </c>
      <c r="H19" s="2">
        <v>0.50785179999999996</v>
      </c>
      <c r="I19" s="2">
        <v>1.4746230000000001E-2</v>
      </c>
      <c r="J19" s="2">
        <v>34.439444399999999</v>
      </c>
      <c r="K19" s="2">
        <v>3.37934132</v>
      </c>
      <c r="L19" s="2">
        <v>1</v>
      </c>
      <c r="M19" s="2">
        <v>56</v>
      </c>
      <c r="N19" s="2">
        <v>7.1324180000000001E-2</v>
      </c>
      <c r="O19" s="2" t="b">
        <f t="shared" si="0"/>
        <v>0</v>
      </c>
      <c r="P19" s="2" t="s">
        <v>103</v>
      </c>
    </row>
    <row r="20" spans="1:16" s="7" customFormat="1" x14ac:dyDescent="0.2">
      <c r="A20" s="8" t="s">
        <v>61</v>
      </c>
      <c r="B20" s="7" t="s">
        <v>76</v>
      </c>
      <c r="C20" s="7" t="s">
        <v>77</v>
      </c>
      <c r="D20" s="8">
        <v>0.16175825999999999</v>
      </c>
      <c r="E20" s="8">
        <v>-2.7062200000000002E-2</v>
      </c>
      <c r="F20" s="8">
        <v>8.1597600000000003E-3</v>
      </c>
      <c r="G20" s="8">
        <v>-3.3165460000000002</v>
      </c>
      <c r="H20" s="8">
        <v>0.51681783999999997</v>
      </c>
      <c r="I20" s="8">
        <v>1.1948459999999999E-2</v>
      </c>
      <c r="J20" s="8">
        <v>43.253927400000002</v>
      </c>
      <c r="K20" s="8">
        <v>10.9994771</v>
      </c>
      <c r="L20" s="8">
        <v>1</v>
      </c>
      <c r="M20" s="8">
        <v>57</v>
      </c>
      <c r="N20" s="8">
        <v>1.59022E-3</v>
      </c>
      <c r="O20" s="8" t="b">
        <f t="shared" si="0"/>
        <v>1</v>
      </c>
      <c r="P20" s="8" t="s">
        <v>103</v>
      </c>
    </row>
    <row r="21" spans="1:16" s="7" customFormat="1" x14ac:dyDescent="0.2">
      <c r="A21" s="8" t="s">
        <v>63</v>
      </c>
      <c r="B21" s="7" t="s">
        <v>76</v>
      </c>
      <c r="C21" s="7" t="s">
        <v>77</v>
      </c>
      <c r="D21" s="8">
        <v>0.1509944</v>
      </c>
      <c r="E21" s="8">
        <v>-2.81502E-2</v>
      </c>
      <c r="F21" s="8">
        <v>8.2793999999999993E-3</v>
      </c>
      <c r="G21" s="8">
        <v>-3.4000227000000001</v>
      </c>
      <c r="H21" s="8">
        <v>0.51346791000000003</v>
      </c>
      <c r="I21" s="8">
        <v>1.255072E-2</v>
      </c>
      <c r="J21" s="8">
        <v>40.911437300000003</v>
      </c>
      <c r="K21" s="8">
        <v>11.560154300000001</v>
      </c>
      <c r="L21" s="8">
        <v>1</v>
      </c>
      <c r="M21" s="8">
        <v>65</v>
      </c>
      <c r="N21" s="8">
        <v>1.15598E-3</v>
      </c>
      <c r="O21" s="8" t="b">
        <f t="shared" si="0"/>
        <v>1</v>
      </c>
      <c r="P21" s="8" t="s">
        <v>103</v>
      </c>
    </row>
    <row r="22" spans="1:16" s="7" customFormat="1" x14ac:dyDescent="0.2">
      <c r="A22" s="8" t="s">
        <v>67</v>
      </c>
      <c r="B22" s="7" t="s">
        <v>76</v>
      </c>
      <c r="C22" s="7" t="s">
        <v>77</v>
      </c>
      <c r="D22" s="8">
        <v>0.14958766000000001</v>
      </c>
      <c r="E22" s="8">
        <v>-2.8672199999999998E-2</v>
      </c>
      <c r="F22" s="8">
        <v>8.5455199999999992E-3</v>
      </c>
      <c r="G22" s="8">
        <v>-3.3552361999999998</v>
      </c>
      <c r="H22" s="8">
        <v>0.51919773000000002</v>
      </c>
      <c r="I22" s="8">
        <v>1.288372E-2</v>
      </c>
      <c r="J22" s="8">
        <v>40.298749800000003</v>
      </c>
      <c r="K22" s="8">
        <v>11.2576102</v>
      </c>
      <c r="L22" s="8">
        <v>1</v>
      </c>
      <c r="M22" s="8">
        <v>64</v>
      </c>
      <c r="N22" s="8">
        <v>1.33712E-3</v>
      </c>
      <c r="O22" s="8" t="b">
        <f t="shared" si="0"/>
        <v>1</v>
      </c>
      <c r="P22" s="8" t="s">
        <v>103</v>
      </c>
    </row>
    <row r="23" spans="1:16" s="7" customFormat="1" x14ac:dyDescent="0.2">
      <c r="A23" s="8" t="s">
        <v>17</v>
      </c>
      <c r="B23" s="7" t="s">
        <v>78</v>
      </c>
      <c r="C23" s="7" t="s">
        <v>79</v>
      </c>
      <c r="D23" s="8">
        <v>0.21874146</v>
      </c>
      <c r="E23" s="8">
        <v>-5.2079399999999998E-2</v>
      </c>
      <c r="F23" s="8">
        <v>1.151957E-2</v>
      </c>
      <c r="G23" s="8">
        <v>-4.5209488999999996</v>
      </c>
      <c r="H23" s="8">
        <v>0.56819045999999995</v>
      </c>
      <c r="I23" s="8">
        <v>1.793138E-2</v>
      </c>
      <c r="J23" s="8">
        <v>31.6869339</v>
      </c>
      <c r="K23" s="8">
        <v>20.438979</v>
      </c>
      <c r="L23" s="8">
        <v>1</v>
      </c>
      <c r="M23" s="8">
        <v>73</v>
      </c>
      <c r="N23" s="9">
        <v>2.3300000000000001E-5</v>
      </c>
      <c r="O23" s="8" t="b">
        <f t="shared" si="0"/>
        <v>1</v>
      </c>
      <c r="P23" s="8" t="s">
        <v>103</v>
      </c>
    </row>
    <row r="24" spans="1:16" x14ac:dyDescent="0.2">
      <c r="A24" s="2" t="s">
        <v>21</v>
      </c>
      <c r="B24" t="s">
        <v>78</v>
      </c>
      <c r="C24" t="s">
        <v>79</v>
      </c>
      <c r="D24" s="2">
        <v>6.2751089999999995E-2</v>
      </c>
      <c r="E24" s="2">
        <v>-3.1177900000000001E-2</v>
      </c>
      <c r="F24" s="2">
        <v>1.483172E-2</v>
      </c>
      <c r="G24" s="2">
        <v>-2.1021084999999999</v>
      </c>
      <c r="H24" s="2">
        <v>0.53801624000000003</v>
      </c>
      <c r="I24" s="2">
        <v>2.2359540000000001E-2</v>
      </c>
      <c r="J24" s="2">
        <v>24.062041199999999</v>
      </c>
      <c r="K24" s="2">
        <v>4.4188601199999997</v>
      </c>
      <c r="L24" s="2">
        <v>1</v>
      </c>
      <c r="M24" s="2">
        <v>66</v>
      </c>
      <c r="N24" s="2">
        <v>3.936336E-2</v>
      </c>
      <c r="O24" s="2" t="b">
        <f t="shared" si="0"/>
        <v>0</v>
      </c>
      <c r="P24" s="2" t="s">
        <v>103</v>
      </c>
    </row>
    <row r="25" spans="1:16" s="7" customFormat="1" x14ac:dyDescent="0.2">
      <c r="A25" s="8" t="s">
        <v>23</v>
      </c>
      <c r="B25" s="7" t="s">
        <v>78</v>
      </c>
      <c r="C25" s="7" t="s">
        <v>79</v>
      </c>
      <c r="D25" s="8">
        <v>0.22988868000000001</v>
      </c>
      <c r="E25" s="8">
        <v>-5.4269600000000001E-2</v>
      </c>
      <c r="F25" s="8">
        <v>1.1788150000000001E-2</v>
      </c>
      <c r="G25" s="8">
        <v>-4.6037445000000004</v>
      </c>
      <c r="H25" s="8">
        <v>0.57271768999999995</v>
      </c>
      <c r="I25" s="8">
        <v>1.8314790000000001E-2</v>
      </c>
      <c r="J25" s="8">
        <v>31.2707801</v>
      </c>
      <c r="K25" s="8">
        <v>21.194463599999999</v>
      </c>
      <c r="L25" s="8">
        <v>1</v>
      </c>
      <c r="M25" s="8">
        <v>71</v>
      </c>
      <c r="N25" s="9">
        <v>1.77E-5</v>
      </c>
      <c r="O25" s="8" t="b">
        <f t="shared" si="0"/>
        <v>1</v>
      </c>
      <c r="P25" s="8" t="s">
        <v>103</v>
      </c>
    </row>
    <row r="26" spans="1:16" s="7" customFormat="1" x14ac:dyDescent="0.2">
      <c r="A26" s="8" t="s">
        <v>27</v>
      </c>
      <c r="B26" s="7" t="s">
        <v>78</v>
      </c>
      <c r="C26" s="7" t="s">
        <v>79</v>
      </c>
      <c r="D26" s="8">
        <v>0.17780993</v>
      </c>
      <c r="E26" s="8">
        <v>-4.0926200000000003E-2</v>
      </c>
      <c r="F26" s="8">
        <v>1.044433E-2</v>
      </c>
      <c r="G26" s="8">
        <v>-3.9185108999999998</v>
      </c>
      <c r="H26" s="8">
        <v>0.55029868999999998</v>
      </c>
      <c r="I26" s="8">
        <v>1.6243150000000001E-2</v>
      </c>
      <c r="J26" s="8">
        <v>33.878825599999999</v>
      </c>
      <c r="K26" s="8">
        <v>15.354728</v>
      </c>
      <c r="L26" s="8">
        <v>1</v>
      </c>
      <c r="M26" s="8">
        <v>71</v>
      </c>
      <c r="N26" s="8">
        <v>2.0283000000000001E-4</v>
      </c>
      <c r="O26" s="8" t="b">
        <f t="shared" si="0"/>
        <v>1</v>
      </c>
      <c r="P26" s="8" t="s">
        <v>103</v>
      </c>
    </row>
    <row r="27" spans="1:16" s="7" customFormat="1" x14ac:dyDescent="0.2">
      <c r="A27" s="8" t="s">
        <v>33</v>
      </c>
      <c r="B27" s="7" t="s">
        <v>78</v>
      </c>
      <c r="C27" s="7" t="s">
        <v>79</v>
      </c>
      <c r="D27" s="8">
        <v>0.23688603</v>
      </c>
      <c r="E27" s="8">
        <v>-5.8651399999999999E-2</v>
      </c>
      <c r="F27" s="8">
        <v>1.3369270000000001E-2</v>
      </c>
      <c r="G27" s="8">
        <v>-4.3870326000000004</v>
      </c>
      <c r="H27" s="8">
        <v>0.57929666000000002</v>
      </c>
      <c r="I27" s="8">
        <v>2.0001169999999999E-2</v>
      </c>
      <c r="J27" s="8">
        <v>28.963141100000001</v>
      </c>
      <c r="K27" s="8">
        <v>19.246055299999998</v>
      </c>
      <c r="L27" s="8">
        <v>1</v>
      </c>
      <c r="M27" s="8">
        <v>62</v>
      </c>
      <c r="N27" s="9">
        <v>4.5399999999999999E-5</v>
      </c>
      <c r="O27" s="8" t="b">
        <f t="shared" si="0"/>
        <v>1</v>
      </c>
      <c r="P27" s="8" t="s">
        <v>103</v>
      </c>
    </row>
    <row r="28" spans="1:16" s="7" customFormat="1" x14ac:dyDescent="0.2">
      <c r="A28" s="8" t="s">
        <v>40</v>
      </c>
      <c r="B28" s="7" t="s">
        <v>78</v>
      </c>
      <c r="C28" s="7" t="s">
        <v>79</v>
      </c>
      <c r="D28" s="8">
        <v>0.14801817</v>
      </c>
      <c r="E28" s="8">
        <v>-4.4573500000000002E-2</v>
      </c>
      <c r="F28" s="8">
        <v>1.2873900000000001E-2</v>
      </c>
      <c r="G28" s="8">
        <v>-3.4623175000000002</v>
      </c>
      <c r="H28" s="8">
        <v>0.55547371000000001</v>
      </c>
      <c r="I28" s="8">
        <v>1.9772029999999999E-2</v>
      </c>
      <c r="J28" s="8">
        <v>28.093907600000001</v>
      </c>
      <c r="K28" s="8">
        <v>11.987642299999999</v>
      </c>
      <c r="L28" s="8">
        <v>1</v>
      </c>
      <c r="M28" s="8">
        <v>69</v>
      </c>
      <c r="N28" s="8">
        <v>9.2380000000000001E-4</v>
      </c>
      <c r="O28" s="8" t="b">
        <f t="shared" si="0"/>
        <v>1</v>
      </c>
      <c r="P28" s="8" t="s">
        <v>103</v>
      </c>
    </row>
    <row r="29" spans="1:16" s="7" customFormat="1" x14ac:dyDescent="0.2">
      <c r="A29" s="8" t="s">
        <v>41</v>
      </c>
      <c r="B29" s="7" t="s">
        <v>78</v>
      </c>
      <c r="C29" s="7" t="s">
        <v>79</v>
      </c>
      <c r="D29" s="8">
        <v>0.16317582</v>
      </c>
      <c r="E29" s="8">
        <v>-4.8942300000000001E-2</v>
      </c>
      <c r="F29" s="8">
        <v>1.407595E-2</v>
      </c>
      <c r="G29" s="8">
        <v>-3.4770156000000001</v>
      </c>
      <c r="H29" s="8">
        <v>0.56453905999999998</v>
      </c>
      <c r="I29" s="8">
        <v>2.113334E-2</v>
      </c>
      <c r="J29" s="8">
        <v>26.7132003</v>
      </c>
      <c r="K29" s="8">
        <v>12.0896375</v>
      </c>
      <c r="L29" s="8">
        <v>1</v>
      </c>
      <c r="M29" s="8">
        <v>62</v>
      </c>
      <c r="N29" s="8">
        <v>9.3232000000000005E-4</v>
      </c>
      <c r="O29" s="8" t="b">
        <f t="shared" si="0"/>
        <v>1</v>
      </c>
      <c r="P29" s="8" t="s">
        <v>103</v>
      </c>
    </row>
    <row r="30" spans="1:16" s="7" customFormat="1" x14ac:dyDescent="0.2">
      <c r="A30" s="8" t="s">
        <v>50</v>
      </c>
      <c r="B30" s="7" t="s">
        <v>78</v>
      </c>
      <c r="C30" s="7" t="s">
        <v>79</v>
      </c>
      <c r="D30" s="8">
        <v>0.23689737</v>
      </c>
      <c r="E30" s="8">
        <v>-5.08715E-2</v>
      </c>
      <c r="F30" s="8">
        <v>1.1072139999999999E-2</v>
      </c>
      <c r="G30" s="8">
        <v>-4.5945513</v>
      </c>
      <c r="H30" s="8">
        <v>0.56630093000000004</v>
      </c>
      <c r="I30" s="8">
        <v>1.694027E-2</v>
      </c>
      <c r="J30" s="8">
        <v>33.4292771</v>
      </c>
      <c r="K30" s="8">
        <v>21.109901300000001</v>
      </c>
      <c r="L30" s="8">
        <v>1</v>
      </c>
      <c r="M30" s="8">
        <v>68</v>
      </c>
      <c r="N30" s="9">
        <v>1.9300000000000002E-5</v>
      </c>
      <c r="O30" s="8" t="b">
        <f t="shared" si="0"/>
        <v>1</v>
      </c>
      <c r="P30" s="8" t="s">
        <v>103</v>
      </c>
    </row>
    <row r="31" spans="1:16" s="7" customFormat="1" x14ac:dyDescent="0.2">
      <c r="A31" s="8" t="s">
        <v>56</v>
      </c>
      <c r="B31" s="7" t="s">
        <v>78</v>
      </c>
      <c r="C31" s="7" t="s">
        <v>79</v>
      </c>
      <c r="D31" s="8">
        <v>0.15433806999999999</v>
      </c>
      <c r="E31" s="8">
        <v>-3.9607000000000003E-2</v>
      </c>
      <c r="F31" s="8">
        <v>1.108116E-2</v>
      </c>
      <c r="G31" s="8">
        <v>-3.5742683999999998</v>
      </c>
      <c r="H31" s="8">
        <v>0.54960631999999998</v>
      </c>
      <c r="I31" s="8">
        <v>1.723156E-2</v>
      </c>
      <c r="J31" s="8">
        <v>31.8953275</v>
      </c>
      <c r="K31" s="8">
        <v>12.775394500000001</v>
      </c>
      <c r="L31" s="8">
        <v>1</v>
      </c>
      <c r="M31" s="8">
        <v>70</v>
      </c>
      <c r="N31" s="8">
        <v>6.4128000000000004E-4</v>
      </c>
      <c r="O31" s="8" t="b">
        <f t="shared" si="0"/>
        <v>1</v>
      </c>
      <c r="P31" s="8" t="s">
        <v>103</v>
      </c>
    </row>
    <row r="32" spans="1:16" x14ac:dyDescent="0.2">
      <c r="A32" s="2" t="s">
        <v>64</v>
      </c>
      <c r="B32" t="s">
        <v>78</v>
      </c>
      <c r="C32" t="s">
        <v>79</v>
      </c>
      <c r="D32" s="2">
        <v>7.5697780000000006E-2</v>
      </c>
      <c r="E32" s="2">
        <v>-3.6813499999999999E-2</v>
      </c>
      <c r="F32" s="2">
        <v>1.5715739999999999E-2</v>
      </c>
      <c r="G32" s="2">
        <v>-2.3424588000000002</v>
      </c>
      <c r="H32" s="2">
        <v>0.55285404999999999</v>
      </c>
      <c r="I32" s="2">
        <v>2.3687E-2</v>
      </c>
      <c r="J32" s="2">
        <v>23.339979899999999</v>
      </c>
      <c r="K32" s="2">
        <v>5.4871133099999998</v>
      </c>
      <c r="L32" s="2">
        <v>1</v>
      </c>
      <c r="M32" s="2">
        <v>67</v>
      </c>
      <c r="N32" s="2">
        <v>2.2136400000000001E-2</v>
      </c>
      <c r="O32" s="2" t="b">
        <f t="shared" si="0"/>
        <v>0</v>
      </c>
      <c r="P32" s="2" t="s">
        <v>103</v>
      </c>
    </row>
    <row r="33" spans="1:16" s="7" customFormat="1" x14ac:dyDescent="0.2">
      <c r="A33" s="8" t="s">
        <v>13</v>
      </c>
      <c r="B33" s="7" t="s">
        <v>78</v>
      </c>
      <c r="C33" s="7" t="s">
        <v>80</v>
      </c>
      <c r="D33" s="8">
        <v>0.14598642000000001</v>
      </c>
      <c r="E33" s="8">
        <v>-3.5031199999999998E-2</v>
      </c>
      <c r="F33" s="8">
        <v>1.005547E-2</v>
      </c>
      <c r="G33" s="8">
        <v>-3.4837983000000001</v>
      </c>
      <c r="H33" s="8">
        <v>0.54613864000000001</v>
      </c>
      <c r="I33" s="8">
        <v>1.53904E-2</v>
      </c>
      <c r="J33" s="8">
        <v>35.485676699999999</v>
      </c>
      <c r="K33" s="8">
        <v>12.136850900000001</v>
      </c>
      <c r="L33" s="8">
        <v>1</v>
      </c>
      <c r="M33" s="8">
        <v>71</v>
      </c>
      <c r="N33" s="8">
        <v>8.5090000000000003E-4</v>
      </c>
      <c r="O33" s="8" t="b">
        <f t="shared" si="0"/>
        <v>1</v>
      </c>
      <c r="P33" s="8" t="s">
        <v>103</v>
      </c>
    </row>
    <row r="34" spans="1:16" s="7" customFormat="1" x14ac:dyDescent="0.2">
      <c r="A34" s="8" t="s">
        <v>20</v>
      </c>
      <c r="B34" s="7" t="s">
        <v>78</v>
      </c>
      <c r="C34" s="7" t="s">
        <v>80</v>
      </c>
      <c r="D34" s="8">
        <v>0.23058448000000001</v>
      </c>
      <c r="E34" s="8">
        <v>-5.8417900000000002E-2</v>
      </c>
      <c r="F34" s="8">
        <v>1.266433E-2</v>
      </c>
      <c r="G34" s="8">
        <v>-4.6127906000000003</v>
      </c>
      <c r="H34" s="8">
        <v>0.58593211000000001</v>
      </c>
      <c r="I34" s="8">
        <v>1.9375219999999999E-2</v>
      </c>
      <c r="J34" s="8">
        <v>30.2413177</v>
      </c>
      <c r="K34" s="8">
        <v>21.277837300000002</v>
      </c>
      <c r="L34" s="8">
        <v>1</v>
      </c>
      <c r="M34" s="8">
        <v>71</v>
      </c>
      <c r="N34" s="9">
        <v>1.7099999999999999E-5</v>
      </c>
      <c r="O34" s="8" t="b">
        <f t="shared" si="0"/>
        <v>1</v>
      </c>
      <c r="P34" s="8" t="s">
        <v>103</v>
      </c>
    </row>
    <row r="35" spans="1:16" s="7" customFormat="1" x14ac:dyDescent="0.2">
      <c r="A35" s="8" t="s">
        <v>26</v>
      </c>
      <c r="B35" s="7" t="s">
        <v>78</v>
      </c>
      <c r="C35" s="7" t="s">
        <v>80</v>
      </c>
      <c r="D35" s="8">
        <v>0.16075006</v>
      </c>
      <c r="E35" s="8">
        <v>-3.8226299999999998E-2</v>
      </c>
      <c r="F35" s="8">
        <v>1.036581E-2</v>
      </c>
      <c r="G35" s="8">
        <v>-3.6877298000000001</v>
      </c>
      <c r="H35" s="8">
        <v>0.55155931000000002</v>
      </c>
      <c r="I35" s="8">
        <v>1.5809770000000001E-2</v>
      </c>
      <c r="J35" s="8">
        <v>34.887237200000001</v>
      </c>
      <c r="K35" s="8">
        <v>13.5993508</v>
      </c>
      <c r="L35" s="8">
        <v>1</v>
      </c>
      <c r="M35" s="8">
        <v>71</v>
      </c>
      <c r="N35" s="8">
        <v>4.3946000000000002E-4</v>
      </c>
      <c r="O35" s="8" t="b">
        <f t="shared" si="0"/>
        <v>1</v>
      </c>
      <c r="P35" s="8" t="s">
        <v>103</v>
      </c>
    </row>
    <row r="36" spans="1:16" x14ac:dyDescent="0.2">
      <c r="A36" s="2" t="s">
        <v>30</v>
      </c>
      <c r="B36" t="s">
        <v>78</v>
      </c>
      <c r="C36" t="s">
        <v>80</v>
      </c>
      <c r="D36" s="2">
        <v>8.1771579999999996E-2</v>
      </c>
      <c r="E36" s="2">
        <v>-2.7926099999999999E-2</v>
      </c>
      <c r="F36" s="2">
        <v>1.110593E-2</v>
      </c>
      <c r="G36" s="2">
        <v>-2.5145195</v>
      </c>
      <c r="H36" s="2">
        <v>0.53939256999999996</v>
      </c>
      <c r="I36" s="2">
        <v>1.6848869999999998E-2</v>
      </c>
      <c r="J36" s="2">
        <v>32.013580599999997</v>
      </c>
      <c r="K36" s="2">
        <v>6.3228084200000003</v>
      </c>
      <c r="L36" s="2">
        <v>1</v>
      </c>
      <c r="M36" s="2">
        <v>71</v>
      </c>
      <c r="N36" s="2">
        <v>1.4186819999999999E-2</v>
      </c>
      <c r="O36" s="2" t="b">
        <f t="shared" si="0"/>
        <v>0</v>
      </c>
      <c r="P36" s="2" t="s">
        <v>103</v>
      </c>
    </row>
    <row r="37" spans="1:16" s="7" customFormat="1" x14ac:dyDescent="0.2">
      <c r="A37" s="8" t="s">
        <v>31</v>
      </c>
      <c r="B37" s="7" t="s">
        <v>78</v>
      </c>
      <c r="C37" s="7" t="s">
        <v>80</v>
      </c>
      <c r="D37" s="8">
        <v>0.14686161</v>
      </c>
      <c r="E37" s="8">
        <v>-3.8129799999999998E-2</v>
      </c>
      <c r="F37" s="8">
        <v>1.0984259999999999E-2</v>
      </c>
      <c r="G37" s="8">
        <v>-3.4713102</v>
      </c>
      <c r="H37" s="8">
        <v>0.55361638999999996</v>
      </c>
      <c r="I37" s="8">
        <v>1.6805270000000001E-2</v>
      </c>
      <c r="J37" s="8">
        <v>32.9430136</v>
      </c>
      <c r="K37" s="8">
        <v>12.0499945</v>
      </c>
      <c r="L37" s="8">
        <v>1</v>
      </c>
      <c r="M37" s="8">
        <v>70</v>
      </c>
      <c r="N37" s="8">
        <v>8.9154000000000002E-4</v>
      </c>
      <c r="O37" s="8" t="b">
        <f t="shared" si="0"/>
        <v>1</v>
      </c>
      <c r="P37" s="8" t="s">
        <v>103</v>
      </c>
    </row>
    <row r="38" spans="1:16" s="7" customFormat="1" x14ac:dyDescent="0.2">
      <c r="A38" s="8" t="s">
        <v>35</v>
      </c>
      <c r="B38" s="7" t="s">
        <v>78</v>
      </c>
      <c r="C38" s="7" t="s">
        <v>80</v>
      </c>
      <c r="D38" s="8">
        <v>0.1378016</v>
      </c>
      <c r="E38" s="8">
        <v>-3.6579199999999999E-2</v>
      </c>
      <c r="F38" s="8">
        <v>1.0936090000000001E-2</v>
      </c>
      <c r="G38" s="8">
        <v>-3.3448183999999999</v>
      </c>
      <c r="H38" s="8">
        <v>0.55250542000000002</v>
      </c>
      <c r="I38" s="8">
        <v>1.655763E-2</v>
      </c>
      <c r="J38" s="8">
        <v>33.368636600000002</v>
      </c>
      <c r="K38" s="8">
        <v>11.1878101</v>
      </c>
      <c r="L38" s="8">
        <v>1</v>
      </c>
      <c r="M38" s="8">
        <v>70</v>
      </c>
      <c r="N38" s="8">
        <v>1.32603E-3</v>
      </c>
      <c r="O38" s="8" t="b">
        <f t="shared" si="0"/>
        <v>1</v>
      </c>
      <c r="P38" s="8" t="s">
        <v>103</v>
      </c>
    </row>
    <row r="39" spans="1:16" s="7" customFormat="1" x14ac:dyDescent="0.2">
      <c r="A39" s="8" t="s">
        <v>38</v>
      </c>
      <c r="B39" s="7" t="s">
        <v>78</v>
      </c>
      <c r="C39" s="7" t="s">
        <v>80</v>
      </c>
      <c r="D39" s="8">
        <v>9.7647200000000003E-2</v>
      </c>
      <c r="E39" s="8">
        <v>-3.0192500000000001E-2</v>
      </c>
      <c r="F39" s="8">
        <v>1.074225E-2</v>
      </c>
      <c r="G39" s="8">
        <v>-2.8106266</v>
      </c>
      <c r="H39" s="8">
        <v>0.54578718000000004</v>
      </c>
      <c r="I39" s="8">
        <v>1.631032E-2</v>
      </c>
      <c r="J39" s="8">
        <v>33.462685299999997</v>
      </c>
      <c r="K39" s="8">
        <v>7.8996216800000001</v>
      </c>
      <c r="L39" s="8">
        <v>1</v>
      </c>
      <c r="M39" s="8">
        <v>73</v>
      </c>
      <c r="N39" s="8">
        <v>6.3437500000000004E-3</v>
      </c>
      <c r="O39" s="8" t="b">
        <f t="shared" si="0"/>
        <v>1</v>
      </c>
      <c r="P39" s="8" t="s">
        <v>103</v>
      </c>
    </row>
    <row r="40" spans="1:16" s="7" customFormat="1" x14ac:dyDescent="0.2">
      <c r="A40" s="8" t="s">
        <v>43</v>
      </c>
      <c r="B40" s="7" t="s">
        <v>78</v>
      </c>
      <c r="C40" s="7" t="s">
        <v>80</v>
      </c>
      <c r="D40" s="8">
        <v>0.16423483999999999</v>
      </c>
      <c r="E40" s="8">
        <v>-4.3941000000000001E-2</v>
      </c>
      <c r="F40" s="8">
        <v>1.168189E-2</v>
      </c>
      <c r="G40" s="8">
        <v>-3.7614627999999999</v>
      </c>
      <c r="H40" s="8">
        <v>0.56002008000000003</v>
      </c>
      <c r="I40" s="8">
        <v>1.7845070000000001E-2</v>
      </c>
      <c r="J40" s="8">
        <v>31.382338000000001</v>
      </c>
      <c r="K40" s="8">
        <v>14.1486021</v>
      </c>
      <c r="L40" s="8">
        <v>1</v>
      </c>
      <c r="M40" s="8">
        <v>72</v>
      </c>
      <c r="N40" s="8">
        <v>3.4122999999999998E-4</v>
      </c>
      <c r="O40" s="8" t="b">
        <f t="shared" si="0"/>
        <v>1</v>
      </c>
      <c r="P40" s="8" t="s">
        <v>103</v>
      </c>
    </row>
    <row r="41" spans="1:16" s="7" customFormat="1" x14ac:dyDescent="0.2">
      <c r="A41" s="8" t="s">
        <v>71</v>
      </c>
      <c r="B41" s="7" t="s">
        <v>78</v>
      </c>
      <c r="C41" s="7" t="s">
        <v>80</v>
      </c>
      <c r="D41" s="8">
        <v>0.22732615</v>
      </c>
      <c r="E41" s="8">
        <v>-4.8118800000000003E-2</v>
      </c>
      <c r="F41" s="8">
        <v>1.0528320000000001E-2</v>
      </c>
      <c r="G41" s="8">
        <v>-4.5704164</v>
      </c>
      <c r="H41" s="8">
        <v>0.56920835999999997</v>
      </c>
      <c r="I41" s="8">
        <v>1.596303E-2</v>
      </c>
      <c r="J41" s="8">
        <v>35.657912199999998</v>
      </c>
      <c r="K41" s="8">
        <v>20.888705999999999</v>
      </c>
      <c r="L41" s="8">
        <v>1</v>
      </c>
      <c r="M41" s="8">
        <v>71</v>
      </c>
      <c r="N41" s="9">
        <v>2.0000000000000002E-5</v>
      </c>
      <c r="O41" s="8" t="b">
        <f t="shared" si="0"/>
        <v>1</v>
      </c>
      <c r="P41" s="8" t="s">
        <v>103</v>
      </c>
    </row>
    <row r="42" spans="1:16" x14ac:dyDescent="0.2">
      <c r="A42" s="2" t="s">
        <v>14</v>
      </c>
      <c r="B42" t="s">
        <v>78</v>
      </c>
      <c r="C42" t="s">
        <v>81</v>
      </c>
      <c r="D42" s="2">
        <v>6.8779799999999997E-3</v>
      </c>
      <c r="E42" s="2">
        <v>9.8350499999999997E-3</v>
      </c>
      <c r="F42" s="2">
        <v>1.402549E-2</v>
      </c>
      <c r="G42" s="2">
        <v>0.70122673000000002</v>
      </c>
      <c r="H42" s="2">
        <v>0.47632521999999999</v>
      </c>
      <c r="I42" s="2">
        <v>2.1401509999999999E-2</v>
      </c>
      <c r="J42" s="2">
        <v>22.2566132</v>
      </c>
      <c r="K42" s="2">
        <v>0.49171892</v>
      </c>
      <c r="L42" s="2">
        <v>1</v>
      </c>
      <c r="M42" s="2">
        <v>71</v>
      </c>
      <c r="N42" s="2">
        <v>0.48545357</v>
      </c>
      <c r="O42" s="2" t="b">
        <f t="shared" si="0"/>
        <v>0</v>
      </c>
      <c r="P42" s="2" t="s">
        <v>103</v>
      </c>
    </row>
    <row r="43" spans="1:16" x14ac:dyDescent="0.2">
      <c r="A43" s="2" t="s">
        <v>22</v>
      </c>
      <c r="B43" t="s">
        <v>78</v>
      </c>
      <c r="C43" t="s">
        <v>81</v>
      </c>
      <c r="D43" s="2">
        <v>3.3168E-4</v>
      </c>
      <c r="E43" s="2">
        <v>1.9994499999999998E-3</v>
      </c>
      <c r="F43" s="2">
        <v>1.3027179999999999E-2</v>
      </c>
      <c r="G43" s="2">
        <v>0.15348279000000001</v>
      </c>
      <c r="H43" s="2">
        <v>0.48567590999999999</v>
      </c>
      <c r="I43" s="2">
        <v>1.9950929999999999E-2</v>
      </c>
      <c r="J43" s="2">
        <v>24.343520300000002</v>
      </c>
      <c r="K43" s="2">
        <v>2.355697E-2</v>
      </c>
      <c r="L43" s="2">
        <v>1</v>
      </c>
      <c r="M43" s="2">
        <v>71</v>
      </c>
      <c r="N43" s="2">
        <v>0.87845295999999995</v>
      </c>
      <c r="O43" s="2" t="b">
        <f t="shared" si="0"/>
        <v>0</v>
      </c>
      <c r="P43" s="2" t="s">
        <v>103</v>
      </c>
    </row>
    <row r="44" spans="1:16" s="7" customFormat="1" x14ac:dyDescent="0.2">
      <c r="A44" s="8" t="s">
        <v>24</v>
      </c>
      <c r="B44" s="7" t="s">
        <v>78</v>
      </c>
      <c r="C44" s="7" t="s">
        <v>81</v>
      </c>
      <c r="D44" s="8">
        <v>0.11777478</v>
      </c>
      <c r="E44" s="8">
        <v>-3.56444E-2</v>
      </c>
      <c r="F44" s="8">
        <v>1.1660190000000001E-2</v>
      </c>
      <c r="G44" s="8">
        <v>-3.0569296000000001</v>
      </c>
      <c r="H44" s="8">
        <v>0.54601217000000002</v>
      </c>
      <c r="I44" s="8">
        <v>1.7860190000000001E-2</v>
      </c>
      <c r="J44" s="8">
        <v>30.571459399999998</v>
      </c>
      <c r="K44" s="8">
        <v>9.3448186500000006</v>
      </c>
      <c r="L44" s="8">
        <v>1</v>
      </c>
      <c r="M44" s="8">
        <v>70</v>
      </c>
      <c r="N44" s="8">
        <v>3.1650799999999998E-3</v>
      </c>
      <c r="O44" s="8" t="b">
        <f t="shared" si="0"/>
        <v>1</v>
      </c>
      <c r="P44" s="8" t="s">
        <v>103</v>
      </c>
    </row>
    <row r="45" spans="1:16" x14ac:dyDescent="0.2">
      <c r="A45" s="2" t="s">
        <v>25</v>
      </c>
      <c r="B45" t="s">
        <v>78</v>
      </c>
      <c r="C45" t="s">
        <v>81</v>
      </c>
      <c r="D45" s="2">
        <v>3.031062E-2</v>
      </c>
      <c r="E45" s="2">
        <v>-1.74629E-2</v>
      </c>
      <c r="F45" s="2">
        <v>1.1722120000000001E-2</v>
      </c>
      <c r="G45" s="2">
        <v>-1.4897393000000001</v>
      </c>
      <c r="H45" s="2">
        <v>0.51522259000000004</v>
      </c>
      <c r="I45" s="2">
        <v>1.811345E-2</v>
      </c>
      <c r="J45" s="2">
        <v>28.444192099999999</v>
      </c>
      <c r="K45" s="2">
        <v>2.2193231400000002</v>
      </c>
      <c r="L45" s="2">
        <v>1</v>
      </c>
      <c r="M45" s="2">
        <v>71</v>
      </c>
      <c r="N45" s="2">
        <v>0.14072186</v>
      </c>
      <c r="O45" s="2" t="b">
        <f t="shared" si="0"/>
        <v>0</v>
      </c>
      <c r="P45" s="2" t="s">
        <v>103</v>
      </c>
    </row>
    <row r="46" spans="1:16" x14ac:dyDescent="0.2">
      <c r="A46" s="2" t="s">
        <v>28</v>
      </c>
      <c r="B46" t="s">
        <v>78</v>
      </c>
      <c r="C46" t="s">
        <v>81</v>
      </c>
      <c r="D46" s="2">
        <v>7.9598900000000007E-3</v>
      </c>
      <c r="E46" s="2">
        <v>-9.7824000000000001E-3</v>
      </c>
      <c r="F46" s="2">
        <v>1.3442580000000001E-2</v>
      </c>
      <c r="G46" s="2">
        <v>-0.72771410000000003</v>
      </c>
      <c r="H46" s="2">
        <v>0.50386323</v>
      </c>
      <c r="I46" s="2">
        <v>2.033598E-2</v>
      </c>
      <c r="J46" s="2">
        <v>24.776930700000001</v>
      </c>
      <c r="K46" s="2">
        <v>0.52956787999999999</v>
      </c>
      <c r="L46" s="2">
        <v>1</v>
      </c>
      <c r="M46" s="2">
        <v>66</v>
      </c>
      <c r="N46" s="2">
        <v>0.46936239000000002</v>
      </c>
      <c r="O46" s="2" t="b">
        <f t="shared" si="0"/>
        <v>0</v>
      </c>
      <c r="P46" s="2" t="s">
        <v>103</v>
      </c>
    </row>
    <row r="47" spans="1:16" x14ac:dyDescent="0.2">
      <c r="A47" s="2" t="s">
        <v>44</v>
      </c>
      <c r="B47" t="s">
        <v>78</v>
      </c>
      <c r="C47" t="s">
        <v>81</v>
      </c>
      <c r="D47" s="2">
        <v>2.1422799999999999E-3</v>
      </c>
      <c r="E47" s="2">
        <v>5.8137299999999996E-3</v>
      </c>
      <c r="F47" s="2">
        <v>1.458595E-2</v>
      </c>
      <c r="G47" s="2">
        <v>0.39858412999999998</v>
      </c>
      <c r="H47" s="2">
        <v>0.48373431</v>
      </c>
      <c r="I47" s="2">
        <v>2.2652619999999998E-2</v>
      </c>
      <c r="J47" s="2">
        <v>21.354451399999999</v>
      </c>
      <c r="K47" s="2">
        <v>0.15886931000000001</v>
      </c>
      <c r="L47" s="2">
        <v>1</v>
      </c>
      <c r="M47" s="2">
        <v>74</v>
      </c>
      <c r="N47" s="2">
        <v>0.69134742999999999</v>
      </c>
      <c r="O47" s="2" t="b">
        <f t="shared" si="0"/>
        <v>0</v>
      </c>
      <c r="P47" s="2" t="s">
        <v>103</v>
      </c>
    </row>
    <row r="48" spans="1:16" x14ac:dyDescent="0.2">
      <c r="A48" s="2" t="s">
        <v>51</v>
      </c>
      <c r="B48" t="s">
        <v>78</v>
      </c>
      <c r="C48" t="s">
        <v>81</v>
      </c>
      <c r="D48" s="2">
        <v>2.7645600000000001E-3</v>
      </c>
      <c r="E48" s="2">
        <v>6.8872600000000001E-3</v>
      </c>
      <c r="F48" s="2">
        <v>1.530985E-2</v>
      </c>
      <c r="G48" s="2">
        <v>0.44985828</v>
      </c>
      <c r="H48" s="2">
        <v>0.48521926999999998</v>
      </c>
      <c r="I48" s="2">
        <v>2.3587400000000001E-2</v>
      </c>
      <c r="J48" s="2">
        <v>20.571121699999999</v>
      </c>
      <c r="K48" s="2">
        <v>0.20237247</v>
      </c>
      <c r="L48" s="2">
        <v>1</v>
      </c>
      <c r="M48" s="2">
        <v>73</v>
      </c>
      <c r="N48" s="2">
        <v>0.65414565000000002</v>
      </c>
      <c r="O48" s="2" t="b">
        <f t="shared" si="0"/>
        <v>0</v>
      </c>
      <c r="P48" s="2" t="s">
        <v>103</v>
      </c>
    </row>
    <row r="49" spans="1:16" x14ac:dyDescent="0.2">
      <c r="A49" s="2" t="s">
        <v>57</v>
      </c>
      <c r="B49" t="s">
        <v>78</v>
      </c>
      <c r="C49" t="s">
        <v>81</v>
      </c>
      <c r="D49" s="2">
        <v>2.563261E-2</v>
      </c>
      <c r="E49" s="2">
        <v>1.8349259999999999E-2</v>
      </c>
      <c r="F49" s="2">
        <v>1.333267E-2</v>
      </c>
      <c r="G49" s="2">
        <v>1.37626268</v>
      </c>
      <c r="H49" s="2">
        <v>0.46189986</v>
      </c>
      <c r="I49" s="2">
        <v>2.057442E-2</v>
      </c>
      <c r="J49" s="2">
        <v>22.450195799999999</v>
      </c>
      <c r="K49" s="2">
        <v>1.89409896</v>
      </c>
      <c r="L49" s="2">
        <v>1</v>
      </c>
      <c r="M49" s="2">
        <v>72</v>
      </c>
      <c r="N49" s="2">
        <v>0.17300573999999999</v>
      </c>
      <c r="O49" s="2" t="b">
        <f t="shared" si="0"/>
        <v>0</v>
      </c>
      <c r="P49" s="2" t="s">
        <v>103</v>
      </c>
    </row>
    <row r="50" spans="1:16" x14ac:dyDescent="0.2">
      <c r="A50" s="2" t="s">
        <v>60</v>
      </c>
      <c r="B50" t="s">
        <v>78</v>
      </c>
      <c r="C50" t="s">
        <v>81</v>
      </c>
      <c r="D50" s="2">
        <v>3.2912000000000002E-4</v>
      </c>
      <c r="E50" s="2">
        <v>2.10999E-3</v>
      </c>
      <c r="F50" s="2">
        <v>1.3704569999999999E-2</v>
      </c>
      <c r="G50" s="2">
        <v>0.15396272</v>
      </c>
      <c r="H50" s="2">
        <v>0.48869035</v>
      </c>
      <c r="I50" s="2">
        <v>2.1086540000000001E-2</v>
      </c>
      <c r="J50" s="2">
        <v>23.175469400000001</v>
      </c>
      <c r="K50" s="2">
        <v>2.370452E-2</v>
      </c>
      <c r="L50" s="2">
        <v>1</v>
      </c>
      <c r="M50" s="2">
        <v>72</v>
      </c>
      <c r="N50" s="2">
        <v>0.87806987000000003</v>
      </c>
      <c r="O50" s="2" t="b">
        <f t="shared" si="0"/>
        <v>0</v>
      </c>
      <c r="P50" s="2" t="s">
        <v>103</v>
      </c>
    </row>
    <row r="51" spans="1:16" x14ac:dyDescent="0.2">
      <c r="A51" s="2" t="s">
        <v>70</v>
      </c>
      <c r="B51" t="s">
        <v>78</v>
      </c>
      <c r="C51" t="s">
        <v>81</v>
      </c>
      <c r="D51" s="2">
        <v>9.0098799999999996E-3</v>
      </c>
      <c r="E51" s="2">
        <v>1.0843190000000001E-2</v>
      </c>
      <c r="F51" s="2">
        <v>1.340188E-2</v>
      </c>
      <c r="G51" s="2">
        <v>0.80907947999999996</v>
      </c>
      <c r="H51" s="2">
        <v>0.47498880999999998</v>
      </c>
      <c r="I51" s="2">
        <v>2.069387E-2</v>
      </c>
      <c r="J51" s="2">
        <v>22.953112999999998</v>
      </c>
      <c r="K51" s="2">
        <v>0.65460960000000001</v>
      </c>
      <c r="L51" s="2">
        <v>1</v>
      </c>
      <c r="M51" s="2">
        <v>72</v>
      </c>
      <c r="N51" s="2">
        <v>0.42113505000000001</v>
      </c>
      <c r="O51" s="2" t="b">
        <f t="shared" si="0"/>
        <v>0</v>
      </c>
      <c r="P51" s="2" t="s">
        <v>103</v>
      </c>
    </row>
    <row r="52" spans="1:16" x14ac:dyDescent="0.2">
      <c r="A52" s="2" t="s">
        <v>18</v>
      </c>
      <c r="B52" t="s">
        <v>78</v>
      </c>
      <c r="C52" t="s">
        <v>82</v>
      </c>
      <c r="D52" s="2">
        <v>1.351809E-2</v>
      </c>
      <c r="E52" s="2">
        <v>-1.39525E-2</v>
      </c>
      <c r="F52" s="2">
        <v>1.4453870000000001E-2</v>
      </c>
      <c r="G52" s="2">
        <v>-0.96531160000000005</v>
      </c>
      <c r="H52" s="2">
        <v>0.50980104000000004</v>
      </c>
      <c r="I52" s="2">
        <v>2.2313630000000001E-2</v>
      </c>
      <c r="J52" s="2">
        <v>22.847069600000001</v>
      </c>
      <c r="K52" s="2">
        <v>0.93182651999999999</v>
      </c>
      <c r="L52" s="2">
        <v>1</v>
      </c>
      <c r="M52" s="2">
        <v>68</v>
      </c>
      <c r="N52" s="2">
        <v>0.33780932000000002</v>
      </c>
      <c r="O52" s="2" t="b">
        <f t="shared" si="0"/>
        <v>0</v>
      </c>
      <c r="P52" s="2" t="s">
        <v>103</v>
      </c>
    </row>
    <row r="53" spans="1:16" s="7" customFormat="1" x14ac:dyDescent="0.2">
      <c r="A53" s="8" t="s">
        <v>19</v>
      </c>
      <c r="B53" s="7" t="s">
        <v>78</v>
      </c>
      <c r="C53" s="7" t="s">
        <v>82</v>
      </c>
      <c r="D53" s="8">
        <v>0.12123067</v>
      </c>
      <c r="E53" s="8">
        <v>-3.6758199999999998E-2</v>
      </c>
      <c r="F53" s="8">
        <v>1.191409E-2</v>
      </c>
      <c r="G53" s="8">
        <v>-3.0852712000000002</v>
      </c>
      <c r="H53" s="8">
        <v>0.54739004000000002</v>
      </c>
      <c r="I53" s="8">
        <v>1.8285079999999999E-2</v>
      </c>
      <c r="J53" s="8">
        <v>29.9364296</v>
      </c>
      <c r="K53" s="8">
        <v>9.5188983</v>
      </c>
      <c r="L53" s="8">
        <v>1</v>
      </c>
      <c r="M53" s="8">
        <v>69</v>
      </c>
      <c r="N53" s="8">
        <v>2.9254699999999999E-3</v>
      </c>
      <c r="O53" s="8" t="b">
        <f t="shared" si="0"/>
        <v>1</v>
      </c>
      <c r="P53" s="8" t="s">
        <v>103</v>
      </c>
    </row>
    <row r="54" spans="1:16" s="7" customFormat="1" x14ac:dyDescent="0.2">
      <c r="A54" s="8" t="s">
        <v>32</v>
      </c>
      <c r="B54" s="7" t="s">
        <v>78</v>
      </c>
      <c r="C54" s="7" t="s">
        <v>82</v>
      </c>
      <c r="D54" s="8">
        <v>0.10513074</v>
      </c>
      <c r="E54" s="8">
        <v>-3.6682399999999997E-2</v>
      </c>
      <c r="F54" s="8">
        <v>1.2701169999999999E-2</v>
      </c>
      <c r="G54" s="8">
        <v>-2.8881133999999999</v>
      </c>
      <c r="H54" s="8">
        <v>0.54942374000000005</v>
      </c>
      <c r="I54" s="8">
        <v>1.972875E-2</v>
      </c>
      <c r="J54" s="8">
        <v>27.848894399999999</v>
      </c>
      <c r="K54" s="8">
        <v>8.3411991099999998</v>
      </c>
      <c r="L54" s="8">
        <v>1</v>
      </c>
      <c r="M54" s="8">
        <v>71</v>
      </c>
      <c r="N54" s="8">
        <v>5.1338199999999999E-3</v>
      </c>
      <c r="O54" s="8" t="b">
        <f t="shared" si="0"/>
        <v>1</v>
      </c>
      <c r="P54" s="8" t="s">
        <v>103</v>
      </c>
    </row>
    <row r="55" spans="1:16" x14ac:dyDescent="0.2">
      <c r="A55" s="2" t="s">
        <v>36</v>
      </c>
      <c r="B55" t="s">
        <v>78</v>
      </c>
      <c r="C55" t="s">
        <v>82</v>
      </c>
      <c r="D55" s="3">
        <v>6.2099999999999996E-7</v>
      </c>
      <c r="E55" s="3">
        <v>9.6600000000000003E-5</v>
      </c>
      <c r="F55" s="2">
        <v>1.6228340000000001E-2</v>
      </c>
      <c r="G55" s="2">
        <v>5.9510099999999996E-3</v>
      </c>
      <c r="H55" s="2">
        <v>0.49205580999999998</v>
      </c>
      <c r="I55" s="2">
        <v>2.3916610000000001E-2</v>
      </c>
      <c r="J55" s="2">
        <v>20.573810999999999</v>
      </c>
      <c r="K55" s="3">
        <v>3.54E-5</v>
      </c>
      <c r="L55" s="2">
        <v>1</v>
      </c>
      <c r="M55" s="2">
        <v>57</v>
      </c>
      <c r="N55" s="2">
        <v>0.99527259000000001</v>
      </c>
      <c r="O55" s="2" t="b">
        <f t="shared" si="0"/>
        <v>0</v>
      </c>
      <c r="P55" s="2" t="s">
        <v>103</v>
      </c>
    </row>
    <row r="56" spans="1:16" s="7" customFormat="1" x14ac:dyDescent="0.2">
      <c r="A56" s="8" t="s">
        <v>47</v>
      </c>
      <c r="B56" s="7" t="s">
        <v>78</v>
      </c>
      <c r="C56" s="7" t="s">
        <v>82</v>
      </c>
      <c r="D56" s="8">
        <v>0.15583416</v>
      </c>
      <c r="E56" s="8">
        <v>-3.8268900000000002E-2</v>
      </c>
      <c r="F56" s="8">
        <v>1.064584E-2</v>
      </c>
      <c r="G56" s="8">
        <v>-3.5947315</v>
      </c>
      <c r="H56" s="8">
        <v>0.54744835999999997</v>
      </c>
      <c r="I56" s="8">
        <v>1.6361089999999998E-2</v>
      </c>
      <c r="J56" s="8">
        <v>33.460376099999998</v>
      </c>
      <c r="K56" s="8">
        <v>12.9220948</v>
      </c>
      <c r="L56" s="8">
        <v>1</v>
      </c>
      <c r="M56" s="8">
        <v>70</v>
      </c>
      <c r="N56" s="8">
        <v>6.0024000000000004E-4</v>
      </c>
      <c r="O56" s="8" t="b">
        <f t="shared" si="0"/>
        <v>1</v>
      </c>
      <c r="P56" s="8" t="s">
        <v>103</v>
      </c>
    </row>
    <row r="57" spans="1:16" x14ac:dyDescent="0.2">
      <c r="A57" s="2" t="s">
        <v>48</v>
      </c>
      <c r="B57" t="s">
        <v>78</v>
      </c>
      <c r="C57" t="s">
        <v>82</v>
      </c>
      <c r="D57" s="2">
        <v>7.6507069999999996E-2</v>
      </c>
      <c r="E57" s="2">
        <v>-3.4114600000000002E-2</v>
      </c>
      <c r="F57" s="2">
        <v>1.437314E-2</v>
      </c>
      <c r="G57" s="2">
        <v>-2.3734956999999999</v>
      </c>
      <c r="H57" s="2">
        <v>0.53748379999999996</v>
      </c>
      <c r="I57" s="2">
        <v>2.1965970000000001E-2</v>
      </c>
      <c r="J57" s="2">
        <v>24.468935200000001</v>
      </c>
      <c r="K57" s="2">
        <v>5.6334817099999999</v>
      </c>
      <c r="L57" s="2">
        <v>1</v>
      </c>
      <c r="M57" s="2">
        <v>68</v>
      </c>
      <c r="N57" s="2">
        <v>2.045218E-2</v>
      </c>
      <c r="O57" s="2" t="b">
        <f t="shared" si="0"/>
        <v>0</v>
      </c>
      <c r="P57" s="2" t="s">
        <v>103</v>
      </c>
    </row>
    <row r="58" spans="1:16" x14ac:dyDescent="0.2">
      <c r="A58" s="2" t="s">
        <v>53</v>
      </c>
      <c r="B58" t="s">
        <v>78</v>
      </c>
      <c r="C58" t="s">
        <v>82</v>
      </c>
      <c r="D58" s="2">
        <v>8.4398999999999997E-4</v>
      </c>
      <c r="E58" s="2">
        <v>-3.7239999999999999E-3</v>
      </c>
      <c r="F58" s="2">
        <v>1.5314599999999999E-2</v>
      </c>
      <c r="G58" s="2">
        <v>-0.24316550000000001</v>
      </c>
      <c r="H58" s="2">
        <v>0.49325053000000002</v>
      </c>
      <c r="I58" s="2">
        <v>2.3365790000000001E-2</v>
      </c>
      <c r="J58" s="2">
        <v>21.109943999999999</v>
      </c>
      <c r="K58" s="2">
        <v>5.9129439999999998E-2</v>
      </c>
      <c r="L58" s="2">
        <v>1</v>
      </c>
      <c r="M58" s="2">
        <v>70</v>
      </c>
      <c r="N58" s="2">
        <v>0.80858838</v>
      </c>
      <c r="O58" s="2" t="b">
        <f t="shared" si="0"/>
        <v>0</v>
      </c>
      <c r="P58" s="2" t="s">
        <v>103</v>
      </c>
    </row>
    <row r="59" spans="1:16" x14ac:dyDescent="0.2">
      <c r="A59" s="2" t="s">
        <v>55</v>
      </c>
      <c r="B59" t="s">
        <v>78</v>
      </c>
      <c r="C59" t="s">
        <v>82</v>
      </c>
      <c r="D59" s="2">
        <v>6.7559419999999995E-2</v>
      </c>
      <c r="E59" s="2">
        <v>-2.5502E-2</v>
      </c>
      <c r="F59" s="2">
        <v>1.1661929999999999E-2</v>
      </c>
      <c r="G59" s="2">
        <v>-2.1867762000000002</v>
      </c>
      <c r="H59" s="2">
        <v>0.52378842000000003</v>
      </c>
      <c r="I59" s="2">
        <v>1.7467380000000001E-2</v>
      </c>
      <c r="J59" s="2">
        <v>29.986654699999999</v>
      </c>
      <c r="K59" s="2">
        <v>4.78199036</v>
      </c>
      <c r="L59" s="2">
        <v>1</v>
      </c>
      <c r="M59" s="2">
        <v>66</v>
      </c>
      <c r="N59" s="2">
        <v>3.2308490000000002E-2</v>
      </c>
      <c r="O59" s="2" t="b">
        <f t="shared" si="0"/>
        <v>0</v>
      </c>
      <c r="P59" s="2" t="s">
        <v>103</v>
      </c>
    </row>
    <row r="60" spans="1:16" x14ac:dyDescent="0.2">
      <c r="A60" s="2" t="s">
        <v>68</v>
      </c>
      <c r="B60" t="s">
        <v>78</v>
      </c>
      <c r="C60" t="s">
        <v>82</v>
      </c>
      <c r="D60" s="2">
        <v>2.5936959999999998E-2</v>
      </c>
      <c r="E60" s="2">
        <v>-1.85256E-2</v>
      </c>
      <c r="F60" s="2">
        <v>1.3569289999999999E-2</v>
      </c>
      <c r="G60" s="2">
        <v>-1.365259</v>
      </c>
      <c r="H60" s="2">
        <v>0.51218107999999996</v>
      </c>
      <c r="I60" s="2">
        <v>2.1007049999999999E-2</v>
      </c>
      <c r="J60" s="2">
        <v>24.3813864</v>
      </c>
      <c r="K60" s="2">
        <v>1.86393221</v>
      </c>
      <c r="L60" s="2">
        <v>1</v>
      </c>
      <c r="M60" s="2">
        <v>70</v>
      </c>
      <c r="N60" s="2">
        <v>0.17654333999999999</v>
      </c>
      <c r="O60" s="2" t="b">
        <f t="shared" si="0"/>
        <v>0</v>
      </c>
      <c r="P60" s="2" t="s">
        <v>103</v>
      </c>
    </row>
    <row r="61" spans="1:16" x14ac:dyDescent="0.2">
      <c r="A61" s="2" t="s">
        <v>69</v>
      </c>
      <c r="B61" t="s">
        <v>78</v>
      </c>
      <c r="C61" t="s">
        <v>82</v>
      </c>
      <c r="D61" s="2">
        <v>2.3882279999999999E-2</v>
      </c>
      <c r="E61" s="2">
        <v>-1.6334600000000001E-2</v>
      </c>
      <c r="F61" s="2">
        <v>1.2571819999999999E-2</v>
      </c>
      <c r="G61" s="2">
        <v>-1.2993056000000001</v>
      </c>
      <c r="H61" s="2">
        <v>0.51296072999999998</v>
      </c>
      <c r="I61" s="2">
        <v>1.9116210000000002E-2</v>
      </c>
      <c r="J61" s="2">
        <v>26.833811399999998</v>
      </c>
      <c r="K61" s="2">
        <v>1.6881950400000001</v>
      </c>
      <c r="L61" s="2">
        <v>1</v>
      </c>
      <c r="M61" s="2">
        <v>69</v>
      </c>
      <c r="N61" s="2">
        <v>0.19816375999999999</v>
      </c>
      <c r="O61" s="2" t="b">
        <f t="shared" si="0"/>
        <v>0</v>
      </c>
      <c r="P61" s="2" t="s">
        <v>103</v>
      </c>
    </row>
  </sheetData>
  <sortState xmlns:xlrd2="http://schemas.microsoft.com/office/spreadsheetml/2017/richdata2" ref="A2:P62">
    <sortCondition ref="C2:C6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1565-41E6-1442-8621-E3A26030ADD8}">
  <dimension ref="A1:P61"/>
  <sheetViews>
    <sheetView topLeftCell="A35" workbookViewId="0">
      <selection activeCell="A60" sqref="A60:XFD60"/>
    </sheetView>
  </sheetViews>
  <sheetFormatPr baseColWidth="10" defaultRowHeight="16" x14ac:dyDescent="0.2"/>
  <cols>
    <col min="1" max="1" width="54.6640625" bestFit="1" customWidth="1"/>
  </cols>
  <sheetData>
    <row r="1" spans="1:16" x14ac:dyDescent="0.2">
      <c r="A1" s="2" t="s">
        <v>0</v>
      </c>
      <c r="B1" t="s">
        <v>72</v>
      </c>
      <c r="C1" t="s">
        <v>73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109</v>
      </c>
      <c r="P1" s="2" t="s">
        <v>100</v>
      </c>
    </row>
    <row r="2" spans="1:16" x14ac:dyDescent="0.2">
      <c r="A2" s="2" t="s">
        <v>15</v>
      </c>
      <c r="B2" t="s">
        <v>74</v>
      </c>
      <c r="C2" t="s">
        <v>75</v>
      </c>
      <c r="D2" s="3">
        <v>2.1100000000000001E-5</v>
      </c>
      <c r="E2" s="2">
        <v>-6.7710000000000003E-4</v>
      </c>
      <c r="F2" s="2">
        <v>2.9515389999999999E-2</v>
      </c>
      <c r="G2" s="2">
        <v>-2.2940599999999998E-2</v>
      </c>
      <c r="H2" s="2">
        <v>1.0696056300000001</v>
      </c>
      <c r="I2" s="2">
        <v>3.2071049999999997E-2</v>
      </c>
      <c r="J2" s="2">
        <v>33.351130400000002</v>
      </c>
      <c r="K2" s="2">
        <v>5.2627000000000001E-4</v>
      </c>
      <c r="L2" s="2">
        <v>1</v>
      </c>
      <c r="M2" s="2">
        <v>25</v>
      </c>
      <c r="N2" s="2">
        <v>0.98187981999999996</v>
      </c>
      <c r="O2" s="2" t="b">
        <f>N2&lt;0.01</f>
        <v>0</v>
      </c>
      <c r="P2" s="2" t="s">
        <v>102</v>
      </c>
    </row>
    <row r="3" spans="1:16" x14ac:dyDescent="0.2">
      <c r="A3" s="2" t="s">
        <v>37</v>
      </c>
      <c r="B3" t="s">
        <v>74</v>
      </c>
      <c r="C3" t="s">
        <v>75</v>
      </c>
      <c r="D3" s="2">
        <v>7.5956389999999999E-2</v>
      </c>
      <c r="E3" s="2">
        <v>4.8128730000000002E-2</v>
      </c>
      <c r="F3" s="2">
        <v>3.6631850000000001E-2</v>
      </c>
      <c r="G3" s="2">
        <v>1.31384937</v>
      </c>
      <c r="H3" s="2">
        <v>1.03603789</v>
      </c>
      <c r="I3" s="2">
        <v>3.895038E-2</v>
      </c>
      <c r="J3" s="2">
        <v>26.598919299999999</v>
      </c>
      <c r="K3" s="2">
        <v>1.72620017</v>
      </c>
      <c r="L3" s="2">
        <v>1</v>
      </c>
      <c r="M3" s="2">
        <v>21</v>
      </c>
      <c r="N3" s="2">
        <v>0.20306962000000001</v>
      </c>
      <c r="O3" s="2" t="b">
        <f t="shared" ref="O3:O61" si="0">N3&lt;0.01</f>
        <v>0</v>
      </c>
      <c r="P3" s="2" t="s">
        <v>102</v>
      </c>
    </row>
    <row r="4" spans="1:16" x14ac:dyDescent="0.2">
      <c r="A4" s="2" t="s">
        <v>39</v>
      </c>
      <c r="B4" t="s">
        <v>74</v>
      </c>
      <c r="C4" t="s">
        <v>75</v>
      </c>
      <c r="D4" s="2">
        <v>2.8906499999999998E-3</v>
      </c>
      <c r="E4" s="2">
        <v>8.63271E-3</v>
      </c>
      <c r="F4" s="2">
        <v>3.4987339999999999E-2</v>
      </c>
      <c r="G4" s="2">
        <v>0.24673806000000001</v>
      </c>
      <c r="H4" s="2">
        <v>1.06307325</v>
      </c>
      <c r="I4" s="2">
        <v>3.711221E-2</v>
      </c>
      <c r="J4" s="2">
        <v>28.6448395</v>
      </c>
      <c r="K4" s="2">
        <v>6.0879669999999997E-2</v>
      </c>
      <c r="L4" s="2">
        <v>1</v>
      </c>
      <c r="M4" s="2">
        <v>21</v>
      </c>
      <c r="N4" s="2">
        <v>0.80750694000000001</v>
      </c>
      <c r="O4" s="2" t="b">
        <f t="shared" si="0"/>
        <v>0</v>
      </c>
      <c r="P4" s="2" t="s">
        <v>102</v>
      </c>
    </row>
    <row r="5" spans="1:16" x14ac:dyDescent="0.2">
      <c r="A5" s="2" t="s">
        <v>45</v>
      </c>
      <c r="B5" t="s">
        <v>74</v>
      </c>
      <c r="C5" t="s">
        <v>75</v>
      </c>
      <c r="D5" s="2">
        <v>4.6720320000000003E-2</v>
      </c>
      <c r="E5" s="2">
        <v>2.9612469999999998E-2</v>
      </c>
      <c r="F5" s="2">
        <v>2.9910039999999999E-2</v>
      </c>
      <c r="G5" s="2">
        <v>0.99005133000000001</v>
      </c>
      <c r="H5" s="2">
        <v>1.0431031399999999</v>
      </c>
      <c r="I5" s="2">
        <v>3.1052969999999999E-2</v>
      </c>
      <c r="J5" s="2">
        <v>33.591096299999997</v>
      </c>
      <c r="K5" s="2">
        <v>0.98020163999999999</v>
      </c>
      <c r="L5" s="2">
        <v>1</v>
      </c>
      <c r="M5" s="2">
        <v>20</v>
      </c>
      <c r="N5" s="2">
        <v>0.33397663</v>
      </c>
      <c r="O5" s="2" t="b">
        <f t="shared" si="0"/>
        <v>0</v>
      </c>
      <c r="P5" s="2" t="s">
        <v>102</v>
      </c>
    </row>
    <row r="6" spans="1:16" x14ac:dyDescent="0.2">
      <c r="A6" s="2" t="s">
        <v>46</v>
      </c>
      <c r="B6" t="s">
        <v>74</v>
      </c>
      <c r="C6" t="s">
        <v>75</v>
      </c>
      <c r="D6" s="2">
        <v>9.6177940000000003E-2</v>
      </c>
      <c r="E6" s="2">
        <v>3.7174440000000003E-2</v>
      </c>
      <c r="F6" s="2">
        <v>2.4296120000000001E-2</v>
      </c>
      <c r="G6" s="2">
        <v>1.53005696</v>
      </c>
      <c r="H6" s="2">
        <v>1.04249886</v>
      </c>
      <c r="I6" s="2">
        <v>2.638397E-2</v>
      </c>
      <c r="J6" s="2">
        <v>39.512578499999996</v>
      </c>
      <c r="K6" s="2">
        <v>2.3410743100000002</v>
      </c>
      <c r="L6" s="2">
        <v>1</v>
      </c>
      <c r="M6" s="2">
        <v>22</v>
      </c>
      <c r="N6" s="2">
        <v>0.14025562999999999</v>
      </c>
      <c r="O6" s="2" t="b">
        <f t="shared" si="0"/>
        <v>0</v>
      </c>
      <c r="P6" s="2" t="s">
        <v>102</v>
      </c>
    </row>
    <row r="7" spans="1:16" x14ac:dyDescent="0.2">
      <c r="A7" s="2" t="s">
        <v>49</v>
      </c>
      <c r="B7" t="s">
        <v>74</v>
      </c>
      <c r="C7" t="s">
        <v>75</v>
      </c>
      <c r="D7" s="2">
        <v>5.3668700000000001E-3</v>
      </c>
      <c r="E7" s="2">
        <v>-1.1462999999999999E-2</v>
      </c>
      <c r="F7" s="2">
        <v>3.3270380000000002E-2</v>
      </c>
      <c r="G7" s="2">
        <v>-0.34454069999999998</v>
      </c>
      <c r="H7" s="2">
        <v>1.0961221400000001</v>
      </c>
      <c r="I7" s="2">
        <v>3.5868039999999997E-2</v>
      </c>
      <c r="J7" s="2">
        <v>30.559851999999999</v>
      </c>
      <c r="K7" s="2">
        <v>0.11870827</v>
      </c>
      <c r="L7" s="2">
        <v>1</v>
      </c>
      <c r="M7" s="2">
        <v>22</v>
      </c>
      <c r="N7" s="2">
        <v>0.73371156000000004</v>
      </c>
      <c r="O7" s="2" t="b">
        <f t="shared" si="0"/>
        <v>0</v>
      </c>
      <c r="P7" s="2" t="s">
        <v>102</v>
      </c>
    </row>
    <row r="8" spans="1:16" x14ac:dyDescent="0.2">
      <c r="A8" s="2" t="s">
        <v>58</v>
      </c>
      <c r="B8" t="s">
        <v>74</v>
      </c>
      <c r="C8" t="s">
        <v>75</v>
      </c>
      <c r="D8" s="2">
        <v>7.48564E-3</v>
      </c>
      <c r="E8" s="2">
        <v>1.5982360000000001E-2</v>
      </c>
      <c r="F8" s="2">
        <v>3.9235890000000002E-2</v>
      </c>
      <c r="G8" s="2">
        <v>0.40734041999999998</v>
      </c>
      <c r="H8" s="2">
        <v>1.0642741</v>
      </c>
      <c r="I8" s="2">
        <v>4.2655279999999997E-2</v>
      </c>
      <c r="J8" s="2">
        <v>24.950579999999999</v>
      </c>
      <c r="K8" s="2">
        <v>0.16592622000000001</v>
      </c>
      <c r="L8" s="2">
        <v>1</v>
      </c>
      <c r="M8" s="2">
        <v>22</v>
      </c>
      <c r="N8" s="2">
        <v>0.68769435999999995</v>
      </c>
      <c r="O8" s="2" t="b">
        <f t="shared" si="0"/>
        <v>0</v>
      </c>
      <c r="P8" s="2" t="s">
        <v>102</v>
      </c>
    </row>
    <row r="9" spans="1:16" x14ac:dyDescent="0.2">
      <c r="A9" s="2" t="s">
        <v>62</v>
      </c>
      <c r="B9" t="s">
        <v>74</v>
      </c>
      <c r="C9" t="s">
        <v>75</v>
      </c>
      <c r="D9" s="2">
        <v>2.415612E-2</v>
      </c>
      <c r="E9" s="2">
        <v>-1.7806800000000001E-2</v>
      </c>
      <c r="F9" s="2">
        <v>2.4697549999999999E-2</v>
      </c>
      <c r="G9" s="2">
        <v>-0.72099639999999998</v>
      </c>
      <c r="H9" s="2">
        <v>1.1000337099999999</v>
      </c>
      <c r="I9" s="2">
        <v>2.731712E-2</v>
      </c>
      <c r="J9" s="2">
        <v>40.269015000000003</v>
      </c>
      <c r="K9" s="2">
        <v>0.51983577000000003</v>
      </c>
      <c r="L9" s="2">
        <v>1</v>
      </c>
      <c r="M9" s="2">
        <v>21</v>
      </c>
      <c r="N9" s="2">
        <v>0.47886219000000002</v>
      </c>
      <c r="O9" s="2" t="b">
        <f t="shared" si="0"/>
        <v>0</v>
      </c>
      <c r="P9" s="2" t="s">
        <v>102</v>
      </c>
    </row>
    <row r="10" spans="1:16" x14ac:dyDescent="0.2">
      <c r="A10" s="2" t="s">
        <v>65</v>
      </c>
      <c r="B10" t="s">
        <v>74</v>
      </c>
      <c r="C10" t="s">
        <v>75</v>
      </c>
      <c r="D10" s="2">
        <v>0.16495615999999999</v>
      </c>
      <c r="E10" s="2">
        <v>-6.0984499999999997E-2</v>
      </c>
      <c r="F10" s="2">
        <v>3.068135E-2</v>
      </c>
      <c r="G10" s="2">
        <v>-1.9876716000000001</v>
      </c>
      <c r="H10" s="2">
        <v>1.1346330499999999</v>
      </c>
      <c r="I10" s="2">
        <v>3.3112229999999999E-2</v>
      </c>
      <c r="J10" s="2">
        <v>34.266280799999997</v>
      </c>
      <c r="K10" s="2">
        <v>3.9508383899999999</v>
      </c>
      <c r="L10" s="2">
        <v>1</v>
      </c>
      <c r="M10" s="2">
        <v>20</v>
      </c>
      <c r="N10" s="2">
        <v>6.0713320000000001E-2</v>
      </c>
      <c r="O10" s="2" t="b">
        <f t="shared" si="0"/>
        <v>0</v>
      </c>
      <c r="P10" s="2" t="s">
        <v>102</v>
      </c>
    </row>
    <row r="11" spans="1:16" x14ac:dyDescent="0.2">
      <c r="A11" s="2" t="s">
        <v>66</v>
      </c>
      <c r="B11" t="s">
        <v>74</v>
      </c>
      <c r="C11" t="s">
        <v>75</v>
      </c>
      <c r="D11" s="2">
        <v>0.12615282</v>
      </c>
      <c r="E11" s="2">
        <v>6.2996070000000001E-2</v>
      </c>
      <c r="F11" s="2">
        <v>3.5348530000000003E-2</v>
      </c>
      <c r="G11" s="2">
        <v>1.78214103</v>
      </c>
      <c r="H11" s="2">
        <v>1.0207260499999999</v>
      </c>
      <c r="I11" s="2">
        <v>3.7213250000000003E-2</v>
      </c>
      <c r="J11" s="2">
        <v>27.429103300000001</v>
      </c>
      <c r="K11" s="2">
        <v>3.17602663</v>
      </c>
      <c r="L11" s="2">
        <v>1</v>
      </c>
      <c r="M11" s="2">
        <v>22</v>
      </c>
      <c r="N11" s="2">
        <v>8.8535080000000002E-2</v>
      </c>
      <c r="O11" s="2" t="b">
        <f t="shared" si="0"/>
        <v>0</v>
      </c>
      <c r="P11" s="2" t="s">
        <v>102</v>
      </c>
    </row>
    <row r="12" spans="1:16" x14ac:dyDescent="0.2">
      <c r="A12" s="2" t="s">
        <v>12</v>
      </c>
      <c r="B12" t="s">
        <v>76</v>
      </c>
      <c r="C12" t="s">
        <v>77</v>
      </c>
      <c r="D12" s="2">
        <v>0.17317641</v>
      </c>
      <c r="E12" s="2">
        <v>5.7819490000000001E-2</v>
      </c>
      <c r="F12" s="2">
        <v>2.5788769999999999E-2</v>
      </c>
      <c r="G12" s="2">
        <v>2.2420410400000002</v>
      </c>
      <c r="H12" s="2">
        <v>1.0291755499999999</v>
      </c>
      <c r="I12" s="2">
        <v>2.9047369999999999E-2</v>
      </c>
      <c r="J12" s="2">
        <v>35.430936600000003</v>
      </c>
      <c r="K12" s="2">
        <v>5.0267480400000002</v>
      </c>
      <c r="L12" s="2">
        <v>1</v>
      </c>
      <c r="M12" s="2">
        <v>24</v>
      </c>
      <c r="N12" s="2">
        <v>3.4467400000000002E-2</v>
      </c>
      <c r="O12" s="2" t="b">
        <f t="shared" si="0"/>
        <v>0</v>
      </c>
      <c r="P12" s="2" t="s">
        <v>102</v>
      </c>
    </row>
    <row r="13" spans="1:16" x14ac:dyDescent="0.2">
      <c r="A13" s="2" t="s">
        <v>16</v>
      </c>
      <c r="B13" t="s">
        <v>76</v>
      </c>
      <c r="C13" t="s">
        <v>77</v>
      </c>
      <c r="D13" s="2">
        <v>1.0874400000000001E-3</v>
      </c>
      <c r="E13" s="2">
        <v>5.1177699999999998E-3</v>
      </c>
      <c r="F13" s="2">
        <v>3.234277E-2</v>
      </c>
      <c r="G13" s="2">
        <v>0.15823529</v>
      </c>
      <c r="H13" s="2">
        <v>1.0764734300000001</v>
      </c>
      <c r="I13" s="2">
        <v>3.3990729999999997E-2</v>
      </c>
      <c r="J13" s="2">
        <v>31.669617899999999</v>
      </c>
      <c r="K13" s="2">
        <v>2.5038410000000001E-2</v>
      </c>
      <c r="L13" s="2">
        <v>1</v>
      </c>
      <c r="M13" s="2">
        <v>23</v>
      </c>
      <c r="N13" s="2">
        <v>0.87565249999999994</v>
      </c>
      <c r="O13" s="2" t="b">
        <f t="shared" si="0"/>
        <v>0</v>
      </c>
      <c r="P13" s="2" t="s">
        <v>102</v>
      </c>
    </row>
    <row r="14" spans="1:16" x14ac:dyDescent="0.2">
      <c r="A14" s="2" t="s">
        <v>29</v>
      </c>
      <c r="B14" t="s">
        <v>76</v>
      </c>
      <c r="C14" t="s">
        <v>77</v>
      </c>
      <c r="D14" s="2">
        <v>0.12241865</v>
      </c>
      <c r="E14" s="2">
        <v>4.7120870000000002E-2</v>
      </c>
      <c r="F14" s="2">
        <v>2.6306880000000001E-2</v>
      </c>
      <c r="G14" s="2">
        <v>1.7911997200000001</v>
      </c>
      <c r="H14" s="2">
        <v>1.0402905200000001</v>
      </c>
      <c r="I14" s="2">
        <v>2.846508E-2</v>
      </c>
      <c r="J14" s="2">
        <v>36.546196000000002</v>
      </c>
      <c r="K14" s="2">
        <v>3.2083964200000001</v>
      </c>
      <c r="L14" s="2">
        <v>1</v>
      </c>
      <c r="M14" s="2">
        <v>23</v>
      </c>
      <c r="N14" s="2">
        <v>8.6431560000000004E-2</v>
      </c>
      <c r="O14" s="2" t="b">
        <f t="shared" si="0"/>
        <v>0</v>
      </c>
      <c r="P14" s="2" t="s">
        <v>102</v>
      </c>
    </row>
    <row r="15" spans="1:16" x14ac:dyDescent="0.2">
      <c r="A15" s="2" t="s">
        <v>34</v>
      </c>
      <c r="B15" t="s">
        <v>76</v>
      </c>
      <c r="C15" t="s">
        <v>77</v>
      </c>
      <c r="D15" s="2">
        <v>4.6072090000000003E-2</v>
      </c>
      <c r="E15" s="2">
        <v>3.4196539999999997E-2</v>
      </c>
      <c r="F15" s="2">
        <v>3.3955600000000002E-2</v>
      </c>
      <c r="G15" s="2">
        <v>1.00709586</v>
      </c>
      <c r="H15" s="2">
        <v>1.05862634</v>
      </c>
      <c r="I15" s="2">
        <v>3.6580080000000001E-2</v>
      </c>
      <c r="J15" s="2">
        <v>28.939969699999999</v>
      </c>
      <c r="K15" s="2">
        <v>1.01424208</v>
      </c>
      <c r="L15" s="2">
        <v>1</v>
      </c>
      <c r="M15" s="2">
        <v>21</v>
      </c>
      <c r="N15" s="2">
        <v>0.32535276000000002</v>
      </c>
      <c r="O15" s="2" t="b">
        <f t="shared" si="0"/>
        <v>0</v>
      </c>
      <c r="P15" s="2" t="s">
        <v>102</v>
      </c>
    </row>
    <row r="16" spans="1:16" x14ac:dyDescent="0.2">
      <c r="A16" s="2" t="s">
        <v>42</v>
      </c>
      <c r="B16" t="s">
        <v>76</v>
      </c>
      <c r="C16" t="s">
        <v>77</v>
      </c>
      <c r="D16" s="2">
        <v>0.27486555000000001</v>
      </c>
      <c r="E16" s="2">
        <v>9.6288719999999994E-2</v>
      </c>
      <c r="F16" s="2">
        <v>3.4128319999999997E-2</v>
      </c>
      <c r="G16" s="2">
        <v>2.8213732</v>
      </c>
      <c r="H16" s="2">
        <v>0.99168747999999995</v>
      </c>
      <c r="I16" s="2">
        <v>3.5749499999999997E-2</v>
      </c>
      <c r="J16" s="2">
        <v>27.739901100000001</v>
      </c>
      <c r="K16" s="2">
        <v>7.9601467399999999</v>
      </c>
      <c r="L16" s="2">
        <v>1</v>
      </c>
      <c r="M16" s="2">
        <v>21</v>
      </c>
      <c r="N16" s="2">
        <v>1.022706E-2</v>
      </c>
      <c r="O16" s="2" t="b">
        <f t="shared" si="0"/>
        <v>0</v>
      </c>
      <c r="P16" s="2" t="s">
        <v>102</v>
      </c>
    </row>
    <row r="17" spans="1:16" x14ac:dyDescent="0.2">
      <c r="A17" s="2" t="s">
        <v>52</v>
      </c>
      <c r="B17" t="s">
        <v>76</v>
      </c>
      <c r="C17" t="s">
        <v>77</v>
      </c>
      <c r="D17" s="2">
        <v>6.2420139999999999E-2</v>
      </c>
      <c r="E17" s="2">
        <v>3.6990519999999999E-2</v>
      </c>
      <c r="F17" s="2">
        <v>2.8115480000000002E-2</v>
      </c>
      <c r="G17" s="2">
        <v>1.3156638</v>
      </c>
      <c r="H17" s="2">
        <v>1.0476696000000001</v>
      </c>
      <c r="I17" s="2">
        <v>3.006431E-2</v>
      </c>
      <c r="J17" s="2">
        <v>34.847613299999999</v>
      </c>
      <c r="K17" s="2">
        <v>1.7309712399999999</v>
      </c>
      <c r="L17" s="2">
        <v>1</v>
      </c>
      <c r="M17" s="2">
        <v>26</v>
      </c>
      <c r="N17" s="2">
        <v>0.19977084000000001</v>
      </c>
      <c r="O17" s="2" t="b">
        <f t="shared" si="0"/>
        <v>0</v>
      </c>
      <c r="P17" s="2" t="s">
        <v>102</v>
      </c>
    </row>
    <row r="18" spans="1:16" x14ac:dyDescent="0.2">
      <c r="A18" s="2" t="s">
        <v>54</v>
      </c>
      <c r="B18" t="s">
        <v>76</v>
      </c>
      <c r="C18" t="s">
        <v>77</v>
      </c>
      <c r="D18" s="2">
        <v>9.8767999999999998E-3</v>
      </c>
      <c r="E18" s="2">
        <v>1.43413E-2</v>
      </c>
      <c r="F18" s="2">
        <v>3.2107759999999999E-2</v>
      </c>
      <c r="G18" s="2">
        <v>0.44666157000000001</v>
      </c>
      <c r="H18" s="2">
        <v>1.07416986</v>
      </c>
      <c r="I18" s="2">
        <v>3.4032229999999997E-2</v>
      </c>
      <c r="J18" s="2">
        <v>31.563309100000001</v>
      </c>
      <c r="K18" s="2">
        <v>0.19950656</v>
      </c>
      <c r="L18" s="2">
        <v>1</v>
      </c>
      <c r="M18" s="2">
        <v>20</v>
      </c>
      <c r="N18" s="2">
        <v>0.65991838999999997</v>
      </c>
      <c r="O18" s="2" t="b">
        <f t="shared" si="0"/>
        <v>0</v>
      </c>
      <c r="P18" s="2" t="s">
        <v>102</v>
      </c>
    </row>
    <row r="19" spans="1:16" x14ac:dyDescent="0.2">
      <c r="A19" s="2" t="s">
        <v>59</v>
      </c>
      <c r="B19" t="s">
        <v>76</v>
      </c>
      <c r="C19" t="s">
        <v>77</v>
      </c>
      <c r="D19" s="2">
        <v>3.009788E-2</v>
      </c>
      <c r="E19" s="2">
        <v>2.0864259999999999E-2</v>
      </c>
      <c r="F19" s="2">
        <v>2.5251530000000001E-2</v>
      </c>
      <c r="G19" s="2">
        <v>0.82625736999999999</v>
      </c>
      <c r="H19" s="2">
        <v>1.06242752</v>
      </c>
      <c r="I19" s="2">
        <v>2.6514650000000001E-2</v>
      </c>
      <c r="J19" s="2">
        <v>40.069451600000001</v>
      </c>
      <c r="K19" s="2">
        <v>0.68270125000000004</v>
      </c>
      <c r="L19" s="2">
        <v>1</v>
      </c>
      <c r="M19" s="2">
        <v>22</v>
      </c>
      <c r="N19" s="2">
        <v>0.41752930999999999</v>
      </c>
      <c r="O19" s="2" t="b">
        <f t="shared" si="0"/>
        <v>0</v>
      </c>
      <c r="P19" s="2" t="s">
        <v>102</v>
      </c>
    </row>
    <row r="20" spans="1:16" x14ac:dyDescent="0.2">
      <c r="A20" s="2" t="s">
        <v>61</v>
      </c>
      <c r="B20" t="s">
        <v>76</v>
      </c>
      <c r="C20" t="s">
        <v>77</v>
      </c>
      <c r="D20" s="2">
        <v>3.5532759999999997E-2</v>
      </c>
      <c r="E20" s="2">
        <v>2.5851929999999999E-2</v>
      </c>
      <c r="F20" s="2">
        <v>2.749265E-2</v>
      </c>
      <c r="G20" s="2">
        <v>0.94032143999999995</v>
      </c>
      <c r="H20" s="2">
        <v>1.0639170099999999</v>
      </c>
      <c r="I20" s="2">
        <v>2.890067E-2</v>
      </c>
      <c r="J20" s="2">
        <v>36.8128849</v>
      </c>
      <c r="K20" s="2">
        <v>0.8842044</v>
      </c>
      <c r="L20" s="2">
        <v>1</v>
      </c>
      <c r="M20" s="2">
        <v>24</v>
      </c>
      <c r="N20" s="2">
        <v>0.35642141999999999</v>
      </c>
      <c r="O20" s="2" t="b">
        <f t="shared" si="0"/>
        <v>0</v>
      </c>
      <c r="P20" s="2" t="s">
        <v>102</v>
      </c>
    </row>
    <row r="21" spans="1:16" x14ac:dyDescent="0.2">
      <c r="A21" s="2" t="s">
        <v>63</v>
      </c>
      <c r="B21" t="s">
        <v>76</v>
      </c>
      <c r="C21" t="s">
        <v>77</v>
      </c>
      <c r="D21" s="2">
        <v>5.4163990000000002E-2</v>
      </c>
      <c r="E21" s="2">
        <v>2.9271769999999999E-2</v>
      </c>
      <c r="F21" s="2">
        <v>2.49687E-2</v>
      </c>
      <c r="G21" s="2">
        <v>1.17233849</v>
      </c>
      <c r="H21" s="2">
        <v>1.0569441399999999</v>
      </c>
      <c r="I21" s="2">
        <v>2.7501589999999999E-2</v>
      </c>
      <c r="J21" s="2">
        <v>38.432112400000001</v>
      </c>
      <c r="K21" s="2">
        <v>1.3743775199999999</v>
      </c>
      <c r="L21" s="2">
        <v>1</v>
      </c>
      <c r="M21" s="2">
        <v>24</v>
      </c>
      <c r="N21" s="2">
        <v>0.25256714000000002</v>
      </c>
      <c r="O21" s="2" t="b">
        <f t="shared" si="0"/>
        <v>0</v>
      </c>
      <c r="P21" s="2" t="s">
        <v>102</v>
      </c>
    </row>
    <row r="22" spans="1:16" x14ac:dyDescent="0.2">
      <c r="A22" s="2" t="s">
        <v>67</v>
      </c>
      <c r="B22" t="s">
        <v>76</v>
      </c>
      <c r="C22" t="s">
        <v>77</v>
      </c>
      <c r="D22" s="2">
        <v>4.711916E-2</v>
      </c>
      <c r="E22" s="2">
        <v>2.7404890000000001E-2</v>
      </c>
      <c r="F22" s="2">
        <v>2.4169179999999998E-2</v>
      </c>
      <c r="G22" s="2">
        <v>1.13387751</v>
      </c>
      <c r="H22" s="2">
        <v>1.0533548699999999</v>
      </c>
      <c r="I22" s="2">
        <v>2.6799570000000002E-2</v>
      </c>
      <c r="J22" s="2">
        <v>39.304918999999998</v>
      </c>
      <c r="K22" s="2">
        <v>1.2856782</v>
      </c>
      <c r="L22" s="2">
        <v>1</v>
      </c>
      <c r="M22" s="2">
        <v>26</v>
      </c>
      <c r="N22" s="2">
        <v>0.26719292</v>
      </c>
      <c r="O22" s="2" t="b">
        <f t="shared" si="0"/>
        <v>0</v>
      </c>
      <c r="P22" s="2" t="s">
        <v>102</v>
      </c>
    </row>
    <row r="23" spans="1:16" x14ac:dyDescent="0.2">
      <c r="A23" s="2" t="s">
        <v>17</v>
      </c>
      <c r="B23" t="s">
        <v>78</v>
      </c>
      <c r="C23" t="s">
        <v>79</v>
      </c>
      <c r="D23" s="2">
        <v>0.17963401000000001</v>
      </c>
      <c r="E23" s="2">
        <v>6.8605109999999997E-2</v>
      </c>
      <c r="F23" s="2">
        <v>2.722494E-2</v>
      </c>
      <c r="G23" s="2">
        <v>2.5199357</v>
      </c>
      <c r="H23" s="2">
        <v>1.0174750400000001</v>
      </c>
      <c r="I23" s="2">
        <v>3.322464E-2</v>
      </c>
      <c r="J23" s="2">
        <v>30.6241074</v>
      </c>
      <c r="K23" s="2">
        <v>6.35007594</v>
      </c>
      <c r="L23" s="2">
        <v>1</v>
      </c>
      <c r="M23" s="2">
        <v>29</v>
      </c>
      <c r="N23" s="2">
        <v>1.749889E-2</v>
      </c>
      <c r="O23" s="2" t="b">
        <f t="shared" si="0"/>
        <v>0</v>
      </c>
      <c r="P23" s="2" t="s">
        <v>102</v>
      </c>
    </row>
    <row r="24" spans="1:16" x14ac:dyDescent="0.2">
      <c r="A24" s="2" t="s">
        <v>21</v>
      </c>
      <c r="B24" t="s">
        <v>78</v>
      </c>
      <c r="C24" t="s">
        <v>79</v>
      </c>
      <c r="D24" s="2">
        <v>0.16994052000000001</v>
      </c>
      <c r="E24" s="2">
        <v>5.7316079999999998E-2</v>
      </c>
      <c r="F24" s="2">
        <v>2.3938870000000001E-2</v>
      </c>
      <c r="G24" s="2">
        <v>2.3942686499999999</v>
      </c>
      <c r="H24" s="2">
        <v>1.0378509499999999</v>
      </c>
      <c r="I24" s="2">
        <v>2.8816310000000001E-2</v>
      </c>
      <c r="J24" s="2">
        <v>36.016098300000003</v>
      </c>
      <c r="K24" s="2">
        <v>5.73252234</v>
      </c>
      <c r="L24" s="2">
        <v>1</v>
      </c>
      <c r="M24" s="2">
        <v>28</v>
      </c>
      <c r="N24" s="2">
        <v>2.3591959999999999E-2</v>
      </c>
      <c r="O24" s="2" t="b">
        <f t="shared" si="0"/>
        <v>0</v>
      </c>
      <c r="P24" s="2" t="s">
        <v>102</v>
      </c>
    </row>
    <row r="25" spans="1:16" x14ac:dyDescent="0.2">
      <c r="A25" s="2" t="s">
        <v>23</v>
      </c>
      <c r="B25" t="s">
        <v>78</v>
      </c>
      <c r="C25" t="s">
        <v>79</v>
      </c>
      <c r="D25" s="2">
        <v>0.16162575000000001</v>
      </c>
      <c r="E25" s="2">
        <v>6.5053479999999997E-2</v>
      </c>
      <c r="F25" s="2">
        <v>2.7512829999999999E-2</v>
      </c>
      <c r="G25" s="2">
        <v>2.3644781799999999</v>
      </c>
      <c r="H25" s="2">
        <v>1.01882804</v>
      </c>
      <c r="I25" s="2">
        <v>3.3504260000000001E-2</v>
      </c>
      <c r="J25" s="2">
        <v>30.408906600000002</v>
      </c>
      <c r="K25" s="2">
        <v>5.5907570800000004</v>
      </c>
      <c r="L25" s="2">
        <v>1</v>
      </c>
      <c r="M25" s="2">
        <v>29</v>
      </c>
      <c r="N25" s="2">
        <v>2.4964449999999999E-2</v>
      </c>
      <c r="O25" s="2" t="b">
        <f t="shared" si="0"/>
        <v>0</v>
      </c>
      <c r="P25" s="2" t="s">
        <v>102</v>
      </c>
    </row>
    <row r="26" spans="1:16" x14ac:dyDescent="0.2">
      <c r="A26" s="2" t="s">
        <v>27</v>
      </c>
      <c r="B26" t="s">
        <v>78</v>
      </c>
      <c r="C26" t="s">
        <v>79</v>
      </c>
      <c r="D26" s="2">
        <v>8.9276369999999994E-2</v>
      </c>
      <c r="E26" s="2">
        <v>4.8908029999999998E-2</v>
      </c>
      <c r="F26" s="2">
        <v>2.9007229999999998E-2</v>
      </c>
      <c r="G26" s="2">
        <v>1.6860636600000001</v>
      </c>
      <c r="H26" s="2">
        <v>1.0359336800000001</v>
      </c>
      <c r="I26" s="2">
        <v>3.566826E-2</v>
      </c>
      <c r="J26" s="2">
        <v>29.043572399999999</v>
      </c>
      <c r="K26" s="2">
        <v>2.84281066</v>
      </c>
      <c r="L26" s="2">
        <v>1</v>
      </c>
      <c r="M26" s="2">
        <v>29</v>
      </c>
      <c r="N26" s="2">
        <v>0.10251502999999999</v>
      </c>
      <c r="O26" s="2" t="b">
        <f t="shared" si="0"/>
        <v>0</v>
      </c>
      <c r="P26" s="2" t="s">
        <v>102</v>
      </c>
    </row>
    <row r="27" spans="1:16" x14ac:dyDescent="0.2">
      <c r="A27" s="2" t="s">
        <v>33</v>
      </c>
      <c r="B27" t="s">
        <v>78</v>
      </c>
      <c r="C27" t="s">
        <v>79</v>
      </c>
      <c r="D27" s="2">
        <v>0.18246103</v>
      </c>
      <c r="E27" s="2">
        <v>6.1152529999999997E-2</v>
      </c>
      <c r="F27" s="2">
        <v>2.4462709999999999E-2</v>
      </c>
      <c r="G27" s="2">
        <v>2.49982639</v>
      </c>
      <c r="H27" s="2">
        <v>1.0327454</v>
      </c>
      <c r="I27" s="2">
        <v>2.9517140000000001E-2</v>
      </c>
      <c r="J27" s="2">
        <v>34.987984099999998</v>
      </c>
      <c r="K27" s="2">
        <v>6.2491319900000004</v>
      </c>
      <c r="L27" s="2">
        <v>1</v>
      </c>
      <c r="M27" s="2">
        <v>28</v>
      </c>
      <c r="N27" s="2">
        <v>1.855832E-2</v>
      </c>
      <c r="O27" s="2" t="b">
        <f t="shared" si="0"/>
        <v>0</v>
      </c>
      <c r="P27" s="2" t="s">
        <v>102</v>
      </c>
    </row>
    <row r="28" spans="1:16" x14ac:dyDescent="0.2">
      <c r="A28" s="2" t="s">
        <v>40</v>
      </c>
      <c r="B28" t="s">
        <v>78</v>
      </c>
      <c r="C28" t="s">
        <v>79</v>
      </c>
      <c r="D28" s="2">
        <v>0.16148282</v>
      </c>
      <c r="E28" s="2">
        <v>5.8669649999999997E-2</v>
      </c>
      <c r="F28" s="2">
        <v>2.4826029999999999E-2</v>
      </c>
      <c r="G28" s="2">
        <v>2.3632310400000001</v>
      </c>
      <c r="H28" s="2">
        <v>1.02593869</v>
      </c>
      <c r="I28" s="2">
        <v>3.0481149999999999E-2</v>
      </c>
      <c r="J28" s="2">
        <v>33.658136399999997</v>
      </c>
      <c r="K28" s="2">
        <v>5.5848609299999996</v>
      </c>
      <c r="L28" s="2">
        <v>1</v>
      </c>
      <c r="M28" s="2">
        <v>29</v>
      </c>
      <c r="N28" s="2">
        <v>2.5034629999999999E-2</v>
      </c>
      <c r="O28" s="2" t="b">
        <f t="shared" si="0"/>
        <v>0</v>
      </c>
      <c r="P28" s="2" t="s">
        <v>102</v>
      </c>
    </row>
    <row r="29" spans="1:16" x14ac:dyDescent="0.2">
      <c r="A29" s="2" t="s">
        <v>41</v>
      </c>
      <c r="B29" t="s">
        <v>78</v>
      </c>
      <c r="C29" t="s">
        <v>79</v>
      </c>
      <c r="D29" s="2">
        <v>0.15825758000000001</v>
      </c>
      <c r="E29" s="2">
        <v>6.1858349999999999E-2</v>
      </c>
      <c r="F29" s="2">
        <v>2.6960419999999999E-2</v>
      </c>
      <c r="G29" s="2">
        <v>2.2944133799999999</v>
      </c>
      <c r="H29" s="2">
        <v>1.03104588</v>
      </c>
      <c r="I29" s="2">
        <v>3.2619889999999999E-2</v>
      </c>
      <c r="J29" s="2">
        <v>31.607893099999998</v>
      </c>
      <c r="K29" s="2">
        <v>5.2643327400000004</v>
      </c>
      <c r="L29" s="2">
        <v>1</v>
      </c>
      <c r="M29" s="2">
        <v>28</v>
      </c>
      <c r="N29" s="2">
        <v>2.9473329999999999E-2</v>
      </c>
      <c r="O29" s="2" t="b">
        <f t="shared" si="0"/>
        <v>0</v>
      </c>
      <c r="P29" s="2" t="s">
        <v>102</v>
      </c>
    </row>
    <row r="30" spans="1:16" x14ac:dyDescent="0.2">
      <c r="A30" s="2" t="s">
        <v>50</v>
      </c>
      <c r="B30" t="s">
        <v>78</v>
      </c>
      <c r="C30" t="s">
        <v>79</v>
      </c>
      <c r="D30" s="2">
        <v>0.14707765</v>
      </c>
      <c r="E30" s="2">
        <v>6.0144709999999997E-2</v>
      </c>
      <c r="F30" s="2">
        <v>2.6895510000000001E-2</v>
      </c>
      <c r="G30" s="2">
        <v>2.23623577</v>
      </c>
      <c r="H30" s="2">
        <v>1.02971736</v>
      </c>
      <c r="I30" s="2">
        <v>3.268795E-2</v>
      </c>
      <c r="J30" s="2">
        <v>31.501437800000001</v>
      </c>
      <c r="K30" s="2">
        <v>5.0007504200000001</v>
      </c>
      <c r="L30" s="2">
        <v>1</v>
      </c>
      <c r="M30" s="2">
        <v>29</v>
      </c>
      <c r="N30" s="2">
        <v>3.3194420000000002E-2</v>
      </c>
      <c r="O30" s="2" t="b">
        <f t="shared" si="0"/>
        <v>0</v>
      </c>
      <c r="P30" s="2" t="s">
        <v>102</v>
      </c>
    </row>
    <row r="31" spans="1:16" s="7" customFormat="1" x14ac:dyDescent="0.2">
      <c r="A31" s="8" t="s">
        <v>56</v>
      </c>
      <c r="B31" s="7" t="s">
        <v>78</v>
      </c>
      <c r="C31" s="7" t="s">
        <v>79</v>
      </c>
      <c r="D31" s="8">
        <v>0.24829630999999999</v>
      </c>
      <c r="E31" s="8">
        <v>6.9281410000000002E-2</v>
      </c>
      <c r="F31" s="8">
        <v>2.2384939999999999E-2</v>
      </c>
      <c r="G31" s="8">
        <v>3.0950010099999998</v>
      </c>
      <c r="H31" s="8">
        <v>1.01577264</v>
      </c>
      <c r="I31" s="8">
        <v>2.7308809999999999E-2</v>
      </c>
      <c r="J31" s="8">
        <v>37.195782399999999</v>
      </c>
      <c r="K31" s="8">
        <v>9.5790312600000007</v>
      </c>
      <c r="L31" s="8">
        <v>1</v>
      </c>
      <c r="M31" s="8">
        <v>29</v>
      </c>
      <c r="N31" s="8">
        <v>4.3325300000000002E-3</v>
      </c>
      <c r="O31" s="8" t="b">
        <f t="shared" si="0"/>
        <v>1</v>
      </c>
      <c r="P31" s="8" t="s">
        <v>102</v>
      </c>
    </row>
    <row r="32" spans="1:16" x14ac:dyDescent="0.2">
      <c r="A32" s="2" t="s">
        <v>64</v>
      </c>
      <c r="B32" t="s">
        <v>78</v>
      </c>
      <c r="C32" t="s">
        <v>79</v>
      </c>
      <c r="D32" s="2">
        <v>1.4161150000000001E-2</v>
      </c>
      <c r="E32" s="2">
        <v>1.6960570000000001E-2</v>
      </c>
      <c r="F32" s="2">
        <v>2.4634139999999999E-2</v>
      </c>
      <c r="G32" s="2">
        <v>0.68849881000000002</v>
      </c>
      <c r="H32" s="2">
        <v>1.0765727700000001</v>
      </c>
      <c r="I32" s="2">
        <v>3.142201E-2</v>
      </c>
      <c r="J32" s="2">
        <v>34.261742099999999</v>
      </c>
      <c r="K32" s="2">
        <v>0.47403061000000002</v>
      </c>
      <c r="L32" s="2">
        <v>1</v>
      </c>
      <c r="M32" s="2">
        <v>33</v>
      </c>
      <c r="N32" s="2">
        <v>0.49595077999999998</v>
      </c>
      <c r="O32" s="2" t="b">
        <f t="shared" si="0"/>
        <v>0</v>
      </c>
      <c r="P32" s="2" t="s">
        <v>102</v>
      </c>
    </row>
    <row r="33" spans="1:16" x14ac:dyDescent="0.2">
      <c r="A33" s="2" t="s">
        <v>13</v>
      </c>
      <c r="B33" t="s">
        <v>78</v>
      </c>
      <c r="C33" t="s">
        <v>80</v>
      </c>
      <c r="D33" s="2">
        <v>7.1367760000000002E-2</v>
      </c>
      <c r="E33" s="2">
        <v>4.492086E-2</v>
      </c>
      <c r="F33" s="2">
        <v>3.008984E-2</v>
      </c>
      <c r="G33" s="2">
        <v>1.49289118</v>
      </c>
      <c r="H33" s="2">
        <v>1.0574313799999999</v>
      </c>
      <c r="I33" s="2">
        <v>3.7080799999999997E-2</v>
      </c>
      <c r="J33" s="2">
        <v>28.516950399999999</v>
      </c>
      <c r="K33" s="2">
        <v>2.22872409</v>
      </c>
      <c r="L33" s="2">
        <v>1</v>
      </c>
      <c r="M33" s="2">
        <v>29</v>
      </c>
      <c r="N33" s="2">
        <v>0.14626632000000001</v>
      </c>
      <c r="O33" s="2" t="b">
        <f t="shared" si="0"/>
        <v>0</v>
      </c>
      <c r="P33" s="2" t="s">
        <v>102</v>
      </c>
    </row>
    <row r="34" spans="1:16" x14ac:dyDescent="0.2">
      <c r="A34" s="2" t="s">
        <v>20</v>
      </c>
      <c r="B34" t="s">
        <v>78</v>
      </c>
      <c r="C34" t="s">
        <v>80</v>
      </c>
      <c r="D34" s="2">
        <v>3.7503309999999998E-2</v>
      </c>
      <c r="E34" s="2">
        <v>3.021604E-2</v>
      </c>
      <c r="F34" s="2">
        <v>2.8425189999999999E-2</v>
      </c>
      <c r="G34" s="2">
        <v>1.06300219</v>
      </c>
      <c r="H34" s="2">
        <v>1.0736773799999999</v>
      </c>
      <c r="I34" s="2">
        <v>3.45911E-2</v>
      </c>
      <c r="J34" s="2">
        <v>31.0391178</v>
      </c>
      <c r="K34" s="2">
        <v>1.1299736499999999</v>
      </c>
      <c r="L34" s="2">
        <v>1</v>
      </c>
      <c r="M34" s="2">
        <v>29</v>
      </c>
      <c r="N34" s="2">
        <v>0.29655301000000001</v>
      </c>
      <c r="O34" s="2" t="b">
        <f t="shared" si="0"/>
        <v>0</v>
      </c>
      <c r="P34" s="2" t="s">
        <v>102</v>
      </c>
    </row>
    <row r="35" spans="1:16" x14ac:dyDescent="0.2">
      <c r="A35" s="2" t="s">
        <v>26</v>
      </c>
      <c r="B35" t="s">
        <v>78</v>
      </c>
      <c r="C35" t="s">
        <v>80</v>
      </c>
      <c r="D35" s="2">
        <v>9.3869569999999999E-2</v>
      </c>
      <c r="E35" s="2">
        <v>4.9162150000000002E-2</v>
      </c>
      <c r="F35" s="2">
        <v>2.8363820000000001E-2</v>
      </c>
      <c r="G35" s="2">
        <v>1.7332692999999999</v>
      </c>
      <c r="H35" s="2">
        <v>1.04455762</v>
      </c>
      <c r="I35" s="2">
        <v>3.490596E-2</v>
      </c>
      <c r="J35" s="2">
        <v>29.924907600000001</v>
      </c>
      <c r="K35" s="2">
        <v>3.0042224700000002</v>
      </c>
      <c r="L35" s="2">
        <v>1</v>
      </c>
      <c r="M35" s="2">
        <v>29</v>
      </c>
      <c r="N35" s="2">
        <v>9.3670260000000005E-2</v>
      </c>
      <c r="O35" s="2" t="b">
        <f t="shared" si="0"/>
        <v>0</v>
      </c>
      <c r="P35" s="2" t="s">
        <v>102</v>
      </c>
    </row>
    <row r="36" spans="1:16" x14ac:dyDescent="0.2">
      <c r="A36" s="2" t="s">
        <v>30</v>
      </c>
      <c r="B36" t="s">
        <v>78</v>
      </c>
      <c r="C36" t="s">
        <v>80</v>
      </c>
      <c r="D36" s="2">
        <v>3.2741329999999999E-2</v>
      </c>
      <c r="E36" s="2">
        <v>2.674259E-2</v>
      </c>
      <c r="F36" s="2">
        <v>2.699153E-2</v>
      </c>
      <c r="G36" s="2">
        <v>0.99077685000000004</v>
      </c>
      <c r="H36" s="2">
        <v>1.07417662</v>
      </c>
      <c r="I36" s="2">
        <v>3.2900739999999998E-2</v>
      </c>
      <c r="J36" s="2">
        <v>32.649009800000002</v>
      </c>
      <c r="K36" s="2">
        <v>0.98163878000000004</v>
      </c>
      <c r="L36" s="2">
        <v>1</v>
      </c>
      <c r="M36" s="2">
        <v>29</v>
      </c>
      <c r="N36" s="2">
        <v>0.32998982999999998</v>
      </c>
      <c r="O36" s="2" t="b">
        <f t="shared" si="0"/>
        <v>0</v>
      </c>
      <c r="P36" s="2" t="s">
        <v>102</v>
      </c>
    </row>
    <row r="37" spans="1:16" x14ac:dyDescent="0.2">
      <c r="A37" s="2" t="s">
        <v>31</v>
      </c>
      <c r="B37" t="s">
        <v>78</v>
      </c>
      <c r="C37" t="s">
        <v>80</v>
      </c>
      <c r="D37" s="2">
        <v>7.9070349999999998E-2</v>
      </c>
      <c r="E37" s="2">
        <v>4.575688E-2</v>
      </c>
      <c r="F37" s="2">
        <v>2.8997720000000001E-2</v>
      </c>
      <c r="G37" s="2">
        <v>1.5779477</v>
      </c>
      <c r="H37" s="2">
        <v>1.03954525</v>
      </c>
      <c r="I37" s="2">
        <v>3.558919E-2</v>
      </c>
      <c r="J37" s="2">
        <v>29.209582000000001</v>
      </c>
      <c r="K37" s="2">
        <v>2.4899189399999999</v>
      </c>
      <c r="L37" s="2">
        <v>1</v>
      </c>
      <c r="M37" s="2">
        <v>29</v>
      </c>
      <c r="N37" s="2">
        <v>0.12542494000000001</v>
      </c>
      <c r="O37" s="2" t="b">
        <f t="shared" si="0"/>
        <v>0</v>
      </c>
      <c r="P37" s="2" t="s">
        <v>102</v>
      </c>
    </row>
    <row r="38" spans="1:16" x14ac:dyDescent="0.2">
      <c r="A38" s="2" t="s">
        <v>35</v>
      </c>
      <c r="B38" t="s">
        <v>78</v>
      </c>
      <c r="C38" t="s">
        <v>80</v>
      </c>
      <c r="D38" s="2">
        <v>1.345235E-2</v>
      </c>
      <c r="E38" s="2">
        <v>1.771062E-2</v>
      </c>
      <c r="F38" s="2">
        <v>2.816403E-2</v>
      </c>
      <c r="G38" s="2">
        <v>0.62883842999999995</v>
      </c>
      <c r="H38" s="2">
        <v>1.0865870200000001</v>
      </c>
      <c r="I38" s="2">
        <v>3.4676230000000002E-2</v>
      </c>
      <c r="J38" s="2">
        <v>31.335213700000001</v>
      </c>
      <c r="K38" s="2">
        <v>0.39543778000000002</v>
      </c>
      <c r="L38" s="2">
        <v>1</v>
      </c>
      <c r="M38" s="2">
        <v>29</v>
      </c>
      <c r="N38" s="2">
        <v>0.53437712999999998</v>
      </c>
      <c r="O38" s="2" t="b">
        <f t="shared" si="0"/>
        <v>0</v>
      </c>
      <c r="P38" s="2" t="s">
        <v>102</v>
      </c>
    </row>
    <row r="39" spans="1:16" x14ac:dyDescent="0.2">
      <c r="A39" s="2" t="s">
        <v>38</v>
      </c>
      <c r="B39" t="s">
        <v>78</v>
      </c>
      <c r="C39" t="s">
        <v>80</v>
      </c>
      <c r="D39" s="2">
        <v>5.0045300000000001E-3</v>
      </c>
      <c r="E39" s="2">
        <v>1.002888E-2</v>
      </c>
      <c r="F39" s="2">
        <v>2.4998059999999999E-2</v>
      </c>
      <c r="G39" s="2">
        <v>0.40118631999999999</v>
      </c>
      <c r="H39" s="2">
        <v>1.0906024400000001</v>
      </c>
      <c r="I39" s="2">
        <v>3.1283270000000002E-2</v>
      </c>
      <c r="J39" s="2">
        <v>34.862161299999997</v>
      </c>
      <c r="K39" s="2">
        <v>0.16095045999999999</v>
      </c>
      <c r="L39" s="2">
        <v>1</v>
      </c>
      <c r="M39" s="2">
        <v>32</v>
      </c>
      <c r="N39" s="2">
        <v>0.69094946000000002</v>
      </c>
      <c r="O39" s="2" t="b">
        <f t="shared" si="0"/>
        <v>0</v>
      </c>
      <c r="P39" s="2" t="s">
        <v>102</v>
      </c>
    </row>
    <row r="40" spans="1:16" x14ac:dyDescent="0.2">
      <c r="A40" s="2" t="s">
        <v>43</v>
      </c>
      <c r="B40" t="s">
        <v>78</v>
      </c>
      <c r="C40" t="s">
        <v>80</v>
      </c>
      <c r="D40" s="2">
        <v>0.10198802</v>
      </c>
      <c r="E40" s="2">
        <v>5.4003139999999998E-2</v>
      </c>
      <c r="F40" s="2">
        <v>2.975682E-2</v>
      </c>
      <c r="G40" s="2">
        <v>1.81481567</v>
      </c>
      <c r="H40" s="2">
        <v>1.0377857399999999</v>
      </c>
      <c r="I40" s="2">
        <v>3.6379540000000002E-2</v>
      </c>
      <c r="J40" s="2">
        <v>28.5266333</v>
      </c>
      <c r="K40" s="2">
        <v>3.2935558999999999</v>
      </c>
      <c r="L40" s="2">
        <v>1</v>
      </c>
      <c r="M40" s="2">
        <v>29</v>
      </c>
      <c r="N40" s="2">
        <v>7.9908999999999994E-2</v>
      </c>
      <c r="O40" s="2" t="b">
        <f t="shared" si="0"/>
        <v>0</v>
      </c>
      <c r="P40" s="2" t="s">
        <v>102</v>
      </c>
    </row>
    <row r="41" spans="1:16" x14ac:dyDescent="0.2">
      <c r="A41" s="2" t="s">
        <v>71</v>
      </c>
      <c r="B41" t="s">
        <v>78</v>
      </c>
      <c r="C41" t="s">
        <v>80</v>
      </c>
      <c r="D41" s="2">
        <v>2.1696300000000001E-3</v>
      </c>
      <c r="E41" s="2">
        <v>6.7570900000000003E-3</v>
      </c>
      <c r="F41" s="2">
        <v>2.738519E-2</v>
      </c>
      <c r="G41" s="2">
        <v>0.24674251</v>
      </c>
      <c r="H41" s="2">
        <v>1.0991827999999999</v>
      </c>
      <c r="I41" s="2">
        <v>3.3270420000000002E-2</v>
      </c>
      <c r="J41" s="2">
        <v>33.037843600000002</v>
      </c>
      <c r="K41" s="2">
        <v>6.0881869999999998E-2</v>
      </c>
      <c r="L41" s="2">
        <v>1</v>
      </c>
      <c r="M41" s="2">
        <v>28</v>
      </c>
      <c r="N41" s="2">
        <v>0.80690761</v>
      </c>
      <c r="O41" s="2" t="b">
        <f t="shared" si="0"/>
        <v>0</v>
      </c>
      <c r="P41" s="2" t="s">
        <v>102</v>
      </c>
    </row>
    <row r="42" spans="1:16" x14ac:dyDescent="0.2">
      <c r="A42" s="2" t="s">
        <v>14</v>
      </c>
      <c r="B42" t="s">
        <v>78</v>
      </c>
      <c r="C42" t="s">
        <v>81</v>
      </c>
      <c r="D42" s="2">
        <v>0.13268046999999999</v>
      </c>
      <c r="E42" s="2">
        <v>4.937159E-2</v>
      </c>
      <c r="F42" s="2">
        <v>2.2671609999999998E-2</v>
      </c>
      <c r="G42" s="2">
        <v>2.1776836099999999</v>
      </c>
      <c r="H42" s="2">
        <v>1.04206442</v>
      </c>
      <c r="I42" s="2">
        <v>2.7937279999999998E-2</v>
      </c>
      <c r="J42" s="2">
        <v>37.300134200000002</v>
      </c>
      <c r="K42" s="2">
        <v>4.7423059099999998</v>
      </c>
      <c r="L42" s="2">
        <v>1</v>
      </c>
      <c r="M42" s="2">
        <v>31</v>
      </c>
      <c r="N42" s="2">
        <v>3.7160619999999998E-2</v>
      </c>
      <c r="O42" s="2" t="b">
        <f t="shared" si="0"/>
        <v>0</v>
      </c>
      <c r="P42" s="2" t="s">
        <v>102</v>
      </c>
    </row>
    <row r="43" spans="1:16" x14ac:dyDescent="0.2">
      <c r="A43" s="2" t="s">
        <v>22</v>
      </c>
      <c r="B43" t="s">
        <v>78</v>
      </c>
      <c r="C43" t="s">
        <v>81</v>
      </c>
      <c r="D43" s="2">
        <v>0.14488714</v>
      </c>
      <c r="E43" s="2">
        <v>5.276641E-2</v>
      </c>
      <c r="F43" s="2">
        <v>2.302361E-2</v>
      </c>
      <c r="G43" s="2">
        <v>2.2918387099999999</v>
      </c>
      <c r="H43" s="2">
        <v>1.0389001499999999</v>
      </c>
      <c r="I43" s="2">
        <v>2.841977E-2</v>
      </c>
      <c r="J43" s="2">
        <v>36.555543499999999</v>
      </c>
      <c r="K43" s="2">
        <v>5.2525246699999997</v>
      </c>
      <c r="L43" s="2">
        <v>1</v>
      </c>
      <c r="M43" s="2">
        <v>31</v>
      </c>
      <c r="N43" s="2">
        <v>2.8866180000000002E-2</v>
      </c>
      <c r="O43" s="2" t="b">
        <f t="shared" si="0"/>
        <v>0</v>
      </c>
      <c r="P43" s="2" t="s">
        <v>102</v>
      </c>
    </row>
    <row r="44" spans="1:16" x14ac:dyDescent="0.2">
      <c r="A44" s="2" t="s">
        <v>24</v>
      </c>
      <c r="B44" t="s">
        <v>78</v>
      </c>
      <c r="C44" t="s">
        <v>81</v>
      </c>
      <c r="D44" s="2">
        <v>6.6755819999999993E-2</v>
      </c>
      <c r="E44" s="2">
        <v>4.4603770000000001E-2</v>
      </c>
      <c r="F44" s="2">
        <v>3.0448369999999999E-2</v>
      </c>
      <c r="G44" s="2">
        <v>1.46489856</v>
      </c>
      <c r="H44" s="2">
        <v>1.03891709</v>
      </c>
      <c r="I44" s="2">
        <v>3.747383E-2</v>
      </c>
      <c r="J44" s="2">
        <v>27.7238018</v>
      </c>
      <c r="K44" s="2">
        <v>2.1459277999999999</v>
      </c>
      <c r="L44" s="2">
        <v>1</v>
      </c>
      <c r="M44" s="2">
        <v>30</v>
      </c>
      <c r="N44" s="2">
        <v>0.15335082</v>
      </c>
      <c r="O44" s="2" t="b">
        <f t="shared" si="0"/>
        <v>0</v>
      </c>
      <c r="P44" s="2" t="s">
        <v>102</v>
      </c>
    </row>
    <row r="45" spans="1:16" x14ac:dyDescent="0.2">
      <c r="A45" s="2" t="s">
        <v>25</v>
      </c>
      <c r="B45" t="s">
        <v>78</v>
      </c>
      <c r="C45" t="s">
        <v>81</v>
      </c>
      <c r="D45" s="2">
        <v>0.10474314999999999</v>
      </c>
      <c r="E45" s="2">
        <v>4.9047510000000002E-2</v>
      </c>
      <c r="F45" s="2">
        <v>2.6179859999999999E-2</v>
      </c>
      <c r="G45" s="2">
        <v>1.87348242</v>
      </c>
      <c r="H45" s="2">
        <v>1.04249434</v>
      </c>
      <c r="I45" s="2">
        <v>3.2209509999999997E-2</v>
      </c>
      <c r="J45" s="2">
        <v>32.3660389</v>
      </c>
      <c r="K45" s="2">
        <v>3.5099363700000001</v>
      </c>
      <c r="L45" s="2">
        <v>1</v>
      </c>
      <c r="M45" s="2">
        <v>30</v>
      </c>
      <c r="N45" s="2">
        <v>7.0773260000000004E-2</v>
      </c>
      <c r="O45" s="2" t="b">
        <f t="shared" si="0"/>
        <v>0</v>
      </c>
      <c r="P45" s="2" t="s">
        <v>102</v>
      </c>
    </row>
    <row r="46" spans="1:16" x14ac:dyDescent="0.2">
      <c r="A46" s="2" t="s">
        <v>28</v>
      </c>
      <c r="B46" t="s">
        <v>78</v>
      </c>
      <c r="C46" t="s">
        <v>81</v>
      </c>
      <c r="D46" s="2">
        <v>0.15466931</v>
      </c>
      <c r="E46" s="2">
        <v>4.7523799999999998E-2</v>
      </c>
      <c r="F46" s="2">
        <v>2.0284380000000001E-2</v>
      </c>
      <c r="G46" s="2">
        <v>2.3428764100000001</v>
      </c>
      <c r="H46" s="2">
        <v>1.04364078</v>
      </c>
      <c r="I46" s="2">
        <v>2.4762610000000001E-2</v>
      </c>
      <c r="J46" s="2">
        <v>42.145838400000002</v>
      </c>
      <c r="K46" s="2">
        <v>5.4890698599999999</v>
      </c>
      <c r="L46" s="2">
        <v>1</v>
      </c>
      <c r="M46" s="2">
        <v>30</v>
      </c>
      <c r="N46" s="2">
        <v>2.5959800000000002E-2</v>
      </c>
      <c r="O46" s="2" t="b">
        <f t="shared" si="0"/>
        <v>0</v>
      </c>
      <c r="P46" s="2" t="s">
        <v>102</v>
      </c>
    </row>
    <row r="47" spans="1:16" x14ac:dyDescent="0.2">
      <c r="A47" s="2" t="s">
        <v>44</v>
      </c>
      <c r="B47" t="s">
        <v>78</v>
      </c>
      <c r="C47" t="s">
        <v>81</v>
      </c>
      <c r="D47" s="2">
        <v>0.13203038</v>
      </c>
      <c r="E47" s="2">
        <v>5.2568810000000001E-2</v>
      </c>
      <c r="F47" s="2">
        <v>2.4208210000000001E-2</v>
      </c>
      <c r="G47" s="2">
        <v>2.1715284600000002</v>
      </c>
      <c r="H47" s="2">
        <v>1.03459009</v>
      </c>
      <c r="I47" s="2">
        <v>2.968525E-2</v>
      </c>
      <c r="J47" s="2">
        <v>34.851993399999998</v>
      </c>
      <c r="K47" s="2">
        <v>4.7155358500000002</v>
      </c>
      <c r="L47" s="2">
        <v>1</v>
      </c>
      <c r="M47" s="2">
        <v>31</v>
      </c>
      <c r="N47" s="2">
        <v>3.7663139999999998E-2</v>
      </c>
      <c r="O47" s="2" t="b">
        <f t="shared" si="0"/>
        <v>0</v>
      </c>
      <c r="P47" s="2" t="s">
        <v>102</v>
      </c>
    </row>
    <row r="48" spans="1:16" x14ac:dyDescent="0.2">
      <c r="A48" s="2" t="s">
        <v>51</v>
      </c>
      <c r="B48" t="s">
        <v>78</v>
      </c>
      <c r="C48" t="s">
        <v>81</v>
      </c>
      <c r="D48" s="2">
        <v>9.0681049999999999E-2</v>
      </c>
      <c r="E48" s="2">
        <v>4.0543009999999997E-2</v>
      </c>
      <c r="F48" s="2">
        <v>2.3439870000000002E-2</v>
      </c>
      <c r="G48" s="2">
        <v>1.7296601300000001</v>
      </c>
      <c r="H48" s="2">
        <v>1.0465072600000001</v>
      </c>
      <c r="I48" s="2">
        <v>2.825072E-2</v>
      </c>
      <c r="J48" s="2">
        <v>37.043563900000002</v>
      </c>
      <c r="K48" s="2">
        <v>2.9917241699999999</v>
      </c>
      <c r="L48" s="2">
        <v>1</v>
      </c>
      <c r="M48" s="2">
        <v>30</v>
      </c>
      <c r="N48" s="2">
        <v>9.3969079999999996E-2</v>
      </c>
      <c r="O48" s="2" t="b">
        <f t="shared" si="0"/>
        <v>0</v>
      </c>
      <c r="P48" s="2" t="s">
        <v>102</v>
      </c>
    </row>
    <row r="49" spans="1:16" s="7" customFormat="1" x14ac:dyDescent="0.2">
      <c r="A49" s="8" t="s">
        <v>57</v>
      </c>
      <c r="B49" s="7" t="s">
        <v>78</v>
      </c>
      <c r="C49" s="7" t="s">
        <v>81</v>
      </c>
      <c r="D49" s="8">
        <v>0.21368266</v>
      </c>
      <c r="E49" s="8">
        <v>5.8623170000000002E-2</v>
      </c>
      <c r="F49" s="8">
        <v>2.0531609999999999E-2</v>
      </c>
      <c r="G49" s="8">
        <v>2.85526451</v>
      </c>
      <c r="H49" s="8">
        <v>1.0345458300000001</v>
      </c>
      <c r="I49" s="8">
        <v>2.513439E-2</v>
      </c>
      <c r="J49" s="8">
        <v>41.160564000000001</v>
      </c>
      <c r="K49" s="8">
        <v>8.1525354199999995</v>
      </c>
      <c r="L49" s="8">
        <v>1</v>
      </c>
      <c r="M49" s="8">
        <v>30</v>
      </c>
      <c r="N49" s="8">
        <v>7.7296300000000004E-3</v>
      </c>
      <c r="O49" s="8" t="b">
        <f t="shared" si="0"/>
        <v>1</v>
      </c>
      <c r="P49" s="8" t="s">
        <v>102</v>
      </c>
    </row>
    <row r="50" spans="1:16" x14ac:dyDescent="0.2">
      <c r="A50" s="2" t="s">
        <v>60</v>
      </c>
      <c r="B50" t="s">
        <v>78</v>
      </c>
      <c r="C50" t="s">
        <v>81</v>
      </c>
      <c r="D50" s="2">
        <v>8.0736939999999993E-2</v>
      </c>
      <c r="E50" s="2">
        <v>3.8279149999999998E-2</v>
      </c>
      <c r="F50" s="2">
        <v>2.3582260000000001E-2</v>
      </c>
      <c r="G50" s="2">
        <v>1.62321805</v>
      </c>
      <c r="H50" s="2">
        <v>1.0500877399999999</v>
      </c>
      <c r="I50" s="2">
        <v>2.868412E-2</v>
      </c>
      <c r="J50" s="2">
        <v>36.608679600000002</v>
      </c>
      <c r="K50" s="2">
        <v>2.6348368299999998</v>
      </c>
      <c r="L50" s="2">
        <v>1</v>
      </c>
      <c r="M50" s="2">
        <v>30</v>
      </c>
      <c r="N50" s="2">
        <v>0.11500587</v>
      </c>
      <c r="O50" s="2" t="b">
        <f t="shared" si="0"/>
        <v>0</v>
      </c>
      <c r="P50" s="2" t="s">
        <v>102</v>
      </c>
    </row>
    <row r="51" spans="1:16" x14ac:dyDescent="0.2">
      <c r="A51" s="2" t="s">
        <v>70</v>
      </c>
      <c r="B51" t="s">
        <v>78</v>
      </c>
      <c r="C51" t="s">
        <v>81</v>
      </c>
      <c r="D51" s="2">
        <v>0.17804861</v>
      </c>
      <c r="E51" s="2">
        <v>5.7479879999999997E-2</v>
      </c>
      <c r="F51" s="2">
        <v>2.2181389999999999E-2</v>
      </c>
      <c r="G51" s="2">
        <v>2.5913559899999998</v>
      </c>
      <c r="H51" s="2">
        <v>1.0303792199999999</v>
      </c>
      <c r="I51" s="2">
        <v>2.718609E-2</v>
      </c>
      <c r="J51" s="2">
        <v>37.900967899999998</v>
      </c>
      <c r="K51" s="2">
        <v>6.7151258800000004</v>
      </c>
      <c r="L51" s="2">
        <v>1</v>
      </c>
      <c r="M51" s="2">
        <v>31</v>
      </c>
      <c r="N51" s="2">
        <v>1.444719E-2</v>
      </c>
      <c r="O51" s="2" t="b">
        <f t="shared" si="0"/>
        <v>0</v>
      </c>
      <c r="P51" s="2" t="s">
        <v>102</v>
      </c>
    </row>
    <row r="52" spans="1:16" x14ac:dyDescent="0.2">
      <c r="A52" s="2" t="s">
        <v>18</v>
      </c>
      <c r="B52" t="s">
        <v>78</v>
      </c>
      <c r="C52" t="s">
        <v>82</v>
      </c>
      <c r="D52" s="2">
        <v>0.18051341000000001</v>
      </c>
      <c r="E52" s="2">
        <v>6.7893579999999995E-2</v>
      </c>
      <c r="F52" s="2">
        <v>2.733795E-2</v>
      </c>
      <c r="G52" s="2">
        <v>2.4834923799999999</v>
      </c>
      <c r="H52" s="2">
        <v>1.01148375</v>
      </c>
      <c r="I52" s="2">
        <v>3.317701E-2</v>
      </c>
      <c r="J52" s="2">
        <v>30.487492899999999</v>
      </c>
      <c r="K52" s="2">
        <v>6.1677344200000004</v>
      </c>
      <c r="L52" s="2">
        <v>1</v>
      </c>
      <c r="M52" s="2">
        <v>28</v>
      </c>
      <c r="N52" s="2">
        <v>1.926634E-2</v>
      </c>
      <c r="O52" s="2" t="b">
        <f t="shared" si="0"/>
        <v>0</v>
      </c>
      <c r="P52" s="2" t="s">
        <v>102</v>
      </c>
    </row>
    <row r="53" spans="1:16" x14ac:dyDescent="0.2">
      <c r="A53" s="2" t="s">
        <v>19</v>
      </c>
      <c r="B53" t="s">
        <v>78</v>
      </c>
      <c r="C53" t="s">
        <v>82</v>
      </c>
      <c r="D53" s="2">
        <v>7.7481549999999996E-2</v>
      </c>
      <c r="E53" s="2">
        <v>4.4399130000000002E-2</v>
      </c>
      <c r="F53" s="2">
        <v>2.797063E-2</v>
      </c>
      <c r="G53" s="2">
        <v>1.5873483100000001</v>
      </c>
      <c r="H53" s="2">
        <v>1.03619974</v>
      </c>
      <c r="I53" s="2">
        <v>3.4471149999999999E-2</v>
      </c>
      <c r="J53" s="2">
        <v>30.059916000000001</v>
      </c>
      <c r="K53" s="2">
        <v>2.5196746499999998</v>
      </c>
      <c r="L53" s="2">
        <v>1</v>
      </c>
      <c r="M53" s="2">
        <v>30</v>
      </c>
      <c r="N53" s="2">
        <v>0.12291916</v>
      </c>
      <c r="O53" s="2" t="b">
        <f t="shared" si="0"/>
        <v>0</v>
      </c>
      <c r="P53" s="2" t="s">
        <v>102</v>
      </c>
    </row>
    <row r="54" spans="1:16" x14ac:dyDescent="0.2">
      <c r="A54" s="2" t="s">
        <v>32</v>
      </c>
      <c r="B54" t="s">
        <v>78</v>
      </c>
      <c r="C54" t="s">
        <v>82</v>
      </c>
      <c r="D54" s="2">
        <v>0.15928102</v>
      </c>
      <c r="E54" s="2">
        <v>5.5207310000000002E-2</v>
      </c>
      <c r="F54" s="2">
        <v>2.3969609999999999E-2</v>
      </c>
      <c r="G54" s="2">
        <v>2.30322096</v>
      </c>
      <c r="H54" s="2">
        <v>1.03301496</v>
      </c>
      <c r="I54" s="2">
        <v>2.8783320000000001E-2</v>
      </c>
      <c r="J54" s="2">
        <v>35.889366899999999</v>
      </c>
      <c r="K54" s="2">
        <v>5.3048268099999998</v>
      </c>
      <c r="L54" s="2">
        <v>1</v>
      </c>
      <c r="M54" s="2">
        <v>28</v>
      </c>
      <c r="N54" s="2">
        <v>2.8905529999999999E-2</v>
      </c>
      <c r="O54" s="2" t="b">
        <f t="shared" si="0"/>
        <v>0</v>
      </c>
      <c r="P54" s="2" t="s">
        <v>102</v>
      </c>
    </row>
    <row r="55" spans="1:16" x14ac:dyDescent="0.2">
      <c r="A55" s="2" t="s">
        <v>36</v>
      </c>
      <c r="B55" t="s">
        <v>78</v>
      </c>
      <c r="C55" t="s">
        <v>82</v>
      </c>
      <c r="D55" s="2">
        <v>0.20749577999999999</v>
      </c>
      <c r="E55" s="2">
        <v>9.4679369999999999E-2</v>
      </c>
      <c r="F55" s="2">
        <v>3.7769900000000002E-2</v>
      </c>
      <c r="G55" s="2">
        <v>2.5067409600000001</v>
      </c>
      <c r="H55" s="2">
        <v>0.96884228999999999</v>
      </c>
      <c r="I55" s="2">
        <v>4.438284E-2</v>
      </c>
      <c r="J55" s="2">
        <v>21.829210499999999</v>
      </c>
      <c r="K55" s="2">
        <v>6.2837502399999998</v>
      </c>
      <c r="L55" s="2">
        <v>1</v>
      </c>
      <c r="M55" s="2">
        <v>24</v>
      </c>
      <c r="N55" s="2">
        <v>1.936129E-2</v>
      </c>
      <c r="O55" s="2" t="b">
        <f t="shared" si="0"/>
        <v>0</v>
      </c>
      <c r="P55" s="2" t="s">
        <v>102</v>
      </c>
    </row>
    <row r="56" spans="1:16" x14ac:dyDescent="0.2">
      <c r="A56" s="2" t="s">
        <v>47</v>
      </c>
      <c r="B56" t="s">
        <v>78</v>
      </c>
      <c r="C56" t="s">
        <v>82</v>
      </c>
      <c r="D56" s="2">
        <v>0.16474795</v>
      </c>
      <c r="E56" s="2">
        <v>6.2111369999999999E-2</v>
      </c>
      <c r="F56" s="2">
        <v>2.6429609999999999E-2</v>
      </c>
      <c r="G56" s="2">
        <v>2.3500669900000002</v>
      </c>
      <c r="H56" s="2">
        <v>1.0179714399999999</v>
      </c>
      <c r="I56" s="2">
        <v>3.241198E-2</v>
      </c>
      <c r="J56" s="2">
        <v>31.407261800000001</v>
      </c>
      <c r="K56" s="2">
        <v>5.5228148800000003</v>
      </c>
      <c r="L56" s="2">
        <v>1</v>
      </c>
      <c r="M56" s="2">
        <v>28</v>
      </c>
      <c r="N56" s="2">
        <v>2.6048990000000001E-2</v>
      </c>
      <c r="O56" s="2" t="b">
        <f t="shared" si="0"/>
        <v>0</v>
      </c>
      <c r="P56" s="2" t="s">
        <v>102</v>
      </c>
    </row>
    <row r="57" spans="1:16" x14ac:dyDescent="0.2">
      <c r="A57" s="2" t="s">
        <v>48</v>
      </c>
      <c r="B57" t="s">
        <v>78</v>
      </c>
      <c r="C57" t="s">
        <v>82</v>
      </c>
      <c r="D57" s="2">
        <v>0.18496334</v>
      </c>
      <c r="E57" s="2">
        <v>6.8226990000000001E-2</v>
      </c>
      <c r="F57" s="2">
        <v>2.7562590000000001E-2</v>
      </c>
      <c r="G57" s="2">
        <v>2.4753473100000001</v>
      </c>
      <c r="H57" s="2">
        <v>1.0106104899999999</v>
      </c>
      <c r="I57" s="2">
        <v>3.2954949999999997E-2</v>
      </c>
      <c r="J57" s="2">
        <v>30.666423200000001</v>
      </c>
      <c r="K57" s="2">
        <v>6.12734428</v>
      </c>
      <c r="L57" s="2">
        <v>1</v>
      </c>
      <c r="M57" s="2">
        <v>27</v>
      </c>
      <c r="N57" s="2">
        <v>1.9878389999999999E-2</v>
      </c>
      <c r="O57" s="2" t="b">
        <f t="shared" si="0"/>
        <v>0</v>
      </c>
      <c r="P57" s="2" t="s">
        <v>102</v>
      </c>
    </row>
    <row r="58" spans="1:16" x14ac:dyDescent="0.2">
      <c r="A58" s="2" t="s">
        <v>53</v>
      </c>
      <c r="B58" t="s">
        <v>78</v>
      </c>
      <c r="C58" t="s">
        <v>82</v>
      </c>
      <c r="D58" s="2">
        <v>0.11686692999999999</v>
      </c>
      <c r="E58" s="2">
        <v>6.0844219999999997E-2</v>
      </c>
      <c r="F58" s="2">
        <v>3.2188790000000002E-2</v>
      </c>
      <c r="G58" s="2">
        <v>1.8902298500000001</v>
      </c>
      <c r="H58" s="2">
        <v>1.0260745099999999</v>
      </c>
      <c r="I58" s="2">
        <v>3.8434210000000003E-2</v>
      </c>
      <c r="J58" s="2">
        <v>26.696907899999999</v>
      </c>
      <c r="K58" s="2">
        <v>3.57296887</v>
      </c>
      <c r="L58" s="2">
        <v>1</v>
      </c>
      <c r="M58" s="2">
        <v>27</v>
      </c>
      <c r="N58" s="2">
        <v>6.9506670000000007E-2</v>
      </c>
      <c r="O58" s="2" t="b">
        <f t="shared" si="0"/>
        <v>0</v>
      </c>
      <c r="P58" s="2" t="s">
        <v>102</v>
      </c>
    </row>
    <row r="59" spans="1:16" x14ac:dyDescent="0.2">
      <c r="A59" s="2" t="s">
        <v>55</v>
      </c>
      <c r="B59" t="s">
        <v>78</v>
      </c>
      <c r="C59" t="s">
        <v>82</v>
      </c>
      <c r="D59" s="2">
        <v>0.14609442</v>
      </c>
      <c r="E59" s="2">
        <v>5.7107529999999997E-2</v>
      </c>
      <c r="F59" s="2">
        <v>2.520698E-2</v>
      </c>
      <c r="G59" s="2">
        <v>2.2655441199999999</v>
      </c>
      <c r="H59" s="2">
        <v>1.03537228</v>
      </c>
      <c r="I59" s="2">
        <v>3.0963040000000001E-2</v>
      </c>
      <c r="J59" s="2">
        <v>33.438972800000002</v>
      </c>
      <c r="K59" s="2">
        <v>5.1326901600000001</v>
      </c>
      <c r="L59" s="2">
        <v>1</v>
      </c>
      <c r="M59" s="2">
        <v>30</v>
      </c>
      <c r="N59" s="2">
        <v>3.085918E-2</v>
      </c>
      <c r="O59" s="2" t="b">
        <f t="shared" si="0"/>
        <v>0</v>
      </c>
      <c r="P59" s="2" t="s">
        <v>102</v>
      </c>
    </row>
    <row r="60" spans="1:16" s="7" customFormat="1" x14ac:dyDescent="0.2">
      <c r="A60" s="8" t="s">
        <v>68</v>
      </c>
      <c r="B60" s="7" t="s">
        <v>78</v>
      </c>
      <c r="C60" s="7" t="s">
        <v>82</v>
      </c>
      <c r="D60" s="8">
        <v>0.31372409000000001</v>
      </c>
      <c r="E60" s="8">
        <v>0.10538096</v>
      </c>
      <c r="F60" s="8">
        <v>2.999547E-2</v>
      </c>
      <c r="G60" s="8">
        <v>3.5132288599999999</v>
      </c>
      <c r="H60" s="8">
        <v>0.97287712000000004</v>
      </c>
      <c r="I60" s="8">
        <v>3.5536270000000002E-2</v>
      </c>
      <c r="J60" s="8">
        <v>27.377016399999999</v>
      </c>
      <c r="K60" s="8">
        <v>12.342777</v>
      </c>
      <c r="L60" s="8">
        <v>1</v>
      </c>
      <c r="M60" s="8">
        <v>27</v>
      </c>
      <c r="N60" s="8">
        <v>1.57883E-3</v>
      </c>
      <c r="O60" s="8" t="b">
        <f t="shared" si="0"/>
        <v>1</v>
      </c>
      <c r="P60" s="8" t="s">
        <v>102</v>
      </c>
    </row>
    <row r="61" spans="1:16" x14ac:dyDescent="0.2">
      <c r="A61" s="2" t="s">
        <v>69</v>
      </c>
      <c r="B61" t="s">
        <v>78</v>
      </c>
      <c r="C61" t="s">
        <v>82</v>
      </c>
      <c r="D61" s="2">
        <v>0.10687116000000001</v>
      </c>
      <c r="E61" s="2">
        <v>4.7449449999999997E-2</v>
      </c>
      <c r="F61" s="2">
        <v>2.5043630000000001E-2</v>
      </c>
      <c r="G61" s="2">
        <v>1.8946710600000001</v>
      </c>
      <c r="H61" s="2">
        <v>1.04302166</v>
      </c>
      <c r="I61" s="2">
        <v>3.0628949999999999E-2</v>
      </c>
      <c r="J61" s="2">
        <v>34.053456300000001</v>
      </c>
      <c r="K61" s="2">
        <v>3.58977842</v>
      </c>
      <c r="L61" s="2">
        <v>1</v>
      </c>
      <c r="M61" s="2">
        <v>30</v>
      </c>
      <c r="N61" s="2">
        <v>6.7810880000000004E-2</v>
      </c>
      <c r="O61" s="2" t="b">
        <f t="shared" si="0"/>
        <v>0</v>
      </c>
      <c r="P61" s="2" t="s">
        <v>102</v>
      </c>
    </row>
  </sheetData>
  <sortState xmlns:xlrd2="http://schemas.microsoft.com/office/spreadsheetml/2017/richdata2" ref="A2:P62">
    <sortCondition ref="C2:C6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E003-5576-DC47-9B99-86E605818A67}">
  <dimension ref="A1:P61"/>
  <sheetViews>
    <sheetView workbookViewId="0">
      <selection activeCell="J67" sqref="J67"/>
    </sheetView>
  </sheetViews>
  <sheetFormatPr baseColWidth="10" defaultRowHeight="16" x14ac:dyDescent="0.2"/>
  <sheetData>
    <row r="1" spans="1:16" x14ac:dyDescent="0.2">
      <c r="A1" s="2" t="s">
        <v>0</v>
      </c>
      <c r="B1" t="s">
        <v>72</v>
      </c>
      <c r="C1" t="s">
        <v>73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109</v>
      </c>
      <c r="P1" s="2" t="s">
        <v>100</v>
      </c>
    </row>
    <row r="2" spans="1:16" x14ac:dyDescent="0.2">
      <c r="A2" s="2" t="s">
        <v>15</v>
      </c>
      <c r="B2" t="s">
        <v>74</v>
      </c>
      <c r="C2" t="s">
        <v>75</v>
      </c>
      <c r="D2" s="2">
        <v>0.14808890999999999</v>
      </c>
      <c r="E2" s="2">
        <v>-1.2009000000000001E-2</v>
      </c>
      <c r="F2" s="2">
        <v>9.6010999999999996E-3</v>
      </c>
      <c r="G2" s="2">
        <v>-1.2507929</v>
      </c>
      <c r="H2" s="2">
        <v>0.64704711000000004</v>
      </c>
      <c r="I2" s="2">
        <v>8.0729400000000007E-3</v>
      </c>
      <c r="J2" s="2">
        <v>80.150110699999999</v>
      </c>
      <c r="K2" s="2">
        <v>1.56448276</v>
      </c>
      <c r="L2" s="2">
        <v>1</v>
      </c>
      <c r="M2" s="2">
        <v>9</v>
      </c>
      <c r="N2" s="2">
        <v>0.24254804999999999</v>
      </c>
      <c r="O2" s="2" t="b">
        <f>N2&lt;0.01</f>
        <v>0</v>
      </c>
      <c r="P2" s="2" t="s">
        <v>101</v>
      </c>
    </row>
    <row r="3" spans="1:16" x14ac:dyDescent="0.2">
      <c r="A3" s="2" t="s">
        <v>37</v>
      </c>
      <c r="B3" t="s">
        <v>74</v>
      </c>
      <c r="C3" t="s">
        <v>75</v>
      </c>
      <c r="D3" s="2">
        <v>1.654135E-2</v>
      </c>
      <c r="E3" s="2">
        <v>6.0562899999999998E-3</v>
      </c>
      <c r="F3" s="2">
        <v>1.4767250000000001E-2</v>
      </c>
      <c r="G3" s="2">
        <v>0.41011666000000002</v>
      </c>
      <c r="H3" s="2">
        <v>0.63635282999999998</v>
      </c>
      <c r="I3" s="2">
        <v>1.2104760000000001E-2</v>
      </c>
      <c r="J3" s="2">
        <v>52.570456800000002</v>
      </c>
      <c r="K3" s="2">
        <v>0.16819567999999999</v>
      </c>
      <c r="L3" s="2">
        <v>1</v>
      </c>
      <c r="M3" s="2">
        <v>10</v>
      </c>
      <c r="N3" s="2">
        <v>0.69036854999999997</v>
      </c>
      <c r="O3" s="2" t="b">
        <f t="shared" ref="O3:O61" si="0">N3&lt;0.01</f>
        <v>0</v>
      </c>
      <c r="P3" s="2" t="s">
        <v>101</v>
      </c>
    </row>
    <row r="4" spans="1:16" x14ac:dyDescent="0.2">
      <c r="A4" s="2" t="s">
        <v>39</v>
      </c>
      <c r="B4" t="s">
        <v>74</v>
      </c>
      <c r="C4" t="s">
        <v>75</v>
      </c>
      <c r="D4" s="2">
        <v>2.292893E-2</v>
      </c>
      <c r="E4" s="2">
        <v>-4.2320999999999999E-3</v>
      </c>
      <c r="F4" s="2">
        <v>9.2087699999999998E-3</v>
      </c>
      <c r="G4" s="2">
        <v>-0.45956829999999999</v>
      </c>
      <c r="H4" s="2">
        <v>0.64295133999999998</v>
      </c>
      <c r="I4" s="2">
        <v>7.46081E-3</v>
      </c>
      <c r="J4" s="2">
        <v>86.177202100000002</v>
      </c>
      <c r="K4" s="2">
        <v>0.21120301999999999</v>
      </c>
      <c r="L4" s="2">
        <v>1</v>
      </c>
      <c r="M4" s="2">
        <v>9</v>
      </c>
      <c r="N4" s="2">
        <v>0.65672536999999997</v>
      </c>
      <c r="O4" s="2" t="b">
        <f t="shared" si="0"/>
        <v>0</v>
      </c>
      <c r="P4" s="2" t="s">
        <v>101</v>
      </c>
    </row>
    <row r="5" spans="1:16" x14ac:dyDescent="0.2">
      <c r="A5" s="2" t="s">
        <v>45</v>
      </c>
      <c r="B5" t="s">
        <v>74</v>
      </c>
      <c r="C5" t="s">
        <v>75</v>
      </c>
      <c r="D5" s="2">
        <v>0.10230309</v>
      </c>
      <c r="E5" s="2">
        <v>-8.9148999999999999E-3</v>
      </c>
      <c r="F5" s="2">
        <v>8.8026700000000003E-3</v>
      </c>
      <c r="G5" s="2">
        <v>-1.0127465</v>
      </c>
      <c r="H5" s="2">
        <v>0.64401079000000006</v>
      </c>
      <c r="I5" s="2">
        <v>7.0910299999999999E-3</v>
      </c>
      <c r="J5" s="2">
        <v>90.820533600000005</v>
      </c>
      <c r="K5" s="2">
        <v>1.0256555199999999</v>
      </c>
      <c r="L5" s="2">
        <v>1</v>
      </c>
      <c r="M5" s="2">
        <v>9</v>
      </c>
      <c r="N5" s="2">
        <v>0.33763235000000003</v>
      </c>
      <c r="O5" s="2" t="b">
        <f t="shared" si="0"/>
        <v>0</v>
      </c>
      <c r="P5" s="2" t="s">
        <v>101</v>
      </c>
    </row>
    <row r="6" spans="1:16" x14ac:dyDescent="0.2">
      <c r="A6" s="2" t="s">
        <v>46</v>
      </c>
      <c r="B6" t="s">
        <v>74</v>
      </c>
      <c r="C6" t="s">
        <v>75</v>
      </c>
      <c r="D6" s="2">
        <v>1.3735030000000001E-2</v>
      </c>
      <c r="E6" s="2">
        <v>-2.0087E-3</v>
      </c>
      <c r="F6" s="2">
        <v>5.3827199999999997E-3</v>
      </c>
      <c r="G6" s="2">
        <v>-0.3731797</v>
      </c>
      <c r="H6" s="2">
        <v>0.63863296000000003</v>
      </c>
      <c r="I6" s="2">
        <v>4.4403799999999998E-3</v>
      </c>
      <c r="J6" s="2">
        <v>143.82403400000001</v>
      </c>
      <c r="K6" s="2">
        <v>0.13926308000000001</v>
      </c>
      <c r="L6" s="2">
        <v>1</v>
      </c>
      <c r="M6" s="2">
        <v>10</v>
      </c>
      <c r="N6" s="2">
        <v>0.71680359000000005</v>
      </c>
      <c r="O6" s="2" t="b">
        <f t="shared" si="0"/>
        <v>0</v>
      </c>
      <c r="P6" s="2" t="s">
        <v>101</v>
      </c>
    </row>
    <row r="7" spans="1:16" x14ac:dyDescent="0.2">
      <c r="A7" s="2" t="s">
        <v>49</v>
      </c>
      <c r="B7" t="s">
        <v>74</v>
      </c>
      <c r="C7" t="s">
        <v>75</v>
      </c>
      <c r="D7" s="2">
        <v>0.11331140000000001</v>
      </c>
      <c r="E7" s="2">
        <v>-1.2478899999999999E-2</v>
      </c>
      <c r="F7" s="2">
        <v>1.163605E-2</v>
      </c>
      <c r="G7" s="2">
        <v>-1.0724387</v>
      </c>
      <c r="H7" s="2">
        <v>0.64719828999999995</v>
      </c>
      <c r="I7" s="2">
        <v>9.4965599999999994E-3</v>
      </c>
      <c r="J7" s="2">
        <v>68.150786100000005</v>
      </c>
      <c r="K7" s="2">
        <v>1.1501248399999999</v>
      </c>
      <c r="L7" s="2">
        <v>1</v>
      </c>
      <c r="M7" s="2">
        <v>9</v>
      </c>
      <c r="N7" s="2">
        <v>0.31143606000000001</v>
      </c>
      <c r="O7" s="2" t="b">
        <f t="shared" si="0"/>
        <v>0</v>
      </c>
      <c r="P7" s="2" t="s">
        <v>101</v>
      </c>
    </row>
    <row r="8" spans="1:16" x14ac:dyDescent="0.2">
      <c r="A8" s="2" t="s">
        <v>58</v>
      </c>
      <c r="B8" t="s">
        <v>74</v>
      </c>
      <c r="C8" t="s">
        <v>75</v>
      </c>
      <c r="D8" s="2">
        <v>8.3798289999999998E-2</v>
      </c>
      <c r="E8" s="2">
        <v>-1.2373500000000001E-2</v>
      </c>
      <c r="F8" s="2">
        <v>1.233596E-2</v>
      </c>
      <c r="G8" s="2">
        <v>-1.0030403000000001</v>
      </c>
      <c r="H8" s="2">
        <v>0.65020617999999997</v>
      </c>
      <c r="I8" s="2">
        <v>1.04642E-2</v>
      </c>
      <c r="J8" s="2">
        <v>62.136235300000003</v>
      </c>
      <c r="K8" s="2">
        <v>1.00608985</v>
      </c>
      <c r="L8" s="2">
        <v>1</v>
      </c>
      <c r="M8" s="2">
        <v>11</v>
      </c>
      <c r="N8" s="2">
        <v>0.33739592000000002</v>
      </c>
      <c r="O8" s="2" t="b">
        <f t="shared" si="0"/>
        <v>0</v>
      </c>
      <c r="P8" s="2" t="s">
        <v>101</v>
      </c>
    </row>
    <row r="9" spans="1:16" x14ac:dyDescent="0.2">
      <c r="A9" s="2" t="s">
        <v>62</v>
      </c>
      <c r="B9" t="s">
        <v>74</v>
      </c>
      <c r="C9" t="s">
        <v>75</v>
      </c>
      <c r="D9" s="2">
        <v>8.2879629999999996E-2</v>
      </c>
      <c r="E9" s="2">
        <v>-1.3831E-2</v>
      </c>
      <c r="F9" s="2">
        <v>1.4549289999999999E-2</v>
      </c>
      <c r="G9" s="2">
        <v>-0.95062829999999998</v>
      </c>
      <c r="H9" s="2">
        <v>0.65102828999999995</v>
      </c>
      <c r="I9" s="2">
        <v>1.2287910000000001E-2</v>
      </c>
      <c r="J9" s="2">
        <v>52.981209800000002</v>
      </c>
      <c r="K9" s="2">
        <v>0.90369407999999996</v>
      </c>
      <c r="L9" s="2">
        <v>1</v>
      </c>
      <c r="M9" s="2">
        <v>10</v>
      </c>
      <c r="N9" s="2">
        <v>0.36420286000000002</v>
      </c>
      <c r="O9" s="2" t="b">
        <f t="shared" si="0"/>
        <v>0</v>
      </c>
      <c r="P9" s="2" t="s">
        <v>101</v>
      </c>
    </row>
    <row r="10" spans="1:16" x14ac:dyDescent="0.2">
      <c r="A10" s="2" t="s">
        <v>65</v>
      </c>
      <c r="B10" t="s">
        <v>74</v>
      </c>
      <c r="C10" t="s">
        <v>75</v>
      </c>
      <c r="D10" s="2">
        <v>4.4263669999999998E-2</v>
      </c>
      <c r="E10" s="2">
        <v>-6.9887999999999999E-3</v>
      </c>
      <c r="F10" s="2">
        <v>1.026941E-2</v>
      </c>
      <c r="G10" s="2">
        <v>-0.68054159999999997</v>
      </c>
      <c r="H10" s="2">
        <v>0.64396087999999996</v>
      </c>
      <c r="I10" s="2">
        <v>8.6136200000000007E-3</v>
      </c>
      <c r="J10" s="2">
        <v>74.760762999999997</v>
      </c>
      <c r="K10" s="2">
        <v>0.46313685999999998</v>
      </c>
      <c r="L10" s="2">
        <v>1</v>
      </c>
      <c r="M10" s="2">
        <v>10</v>
      </c>
      <c r="N10" s="2">
        <v>0.51161011000000001</v>
      </c>
      <c r="O10" s="2" t="b">
        <f t="shared" si="0"/>
        <v>0</v>
      </c>
      <c r="P10" s="2" t="s">
        <v>101</v>
      </c>
    </row>
    <row r="11" spans="1:16" x14ac:dyDescent="0.2">
      <c r="A11" s="2" t="s">
        <v>66</v>
      </c>
      <c r="B11" t="s">
        <v>74</v>
      </c>
      <c r="C11" t="s">
        <v>75</v>
      </c>
      <c r="D11" s="2">
        <v>0.28355392000000001</v>
      </c>
      <c r="E11" s="2">
        <v>-2.0570600000000001E-2</v>
      </c>
      <c r="F11" s="2">
        <v>1.089934E-2</v>
      </c>
      <c r="G11" s="2">
        <v>-1.8873278</v>
      </c>
      <c r="H11" s="2">
        <v>0.65453958000000001</v>
      </c>
      <c r="I11" s="2">
        <v>8.7935600000000006E-3</v>
      </c>
      <c r="J11" s="2">
        <v>74.433927600000004</v>
      </c>
      <c r="K11" s="2">
        <v>3.5620060499999999</v>
      </c>
      <c r="L11" s="2">
        <v>1</v>
      </c>
      <c r="M11" s="2">
        <v>9</v>
      </c>
      <c r="N11" s="2">
        <v>9.1726909999999995E-2</v>
      </c>
      <c r="O11" s="2" t="b">
        <f t="shared" si="0"/>
        <v>0</v>
      </c>
      <c r="P11" s="2" t="s">
        <v>101</v>
      </c>
    </row>
    <row r="12" spans="1:16" x14ac:dyDescent="0.2">
      <c r="A12" s="2" t="s">
        <v>12</v>
      </c>
      <c r="B12" t="s">
        <v>76</v>
      </c>
      <c r="C12" t="s">
        <v>77</v>
      </c>
      <c r="D12" s="2">
        <v>0.16350303999999999</v>
      </c>
      <c r="E12" s="2">
        <v>7.2835E-3</v>
      </c>
      <c r="F12" s="2">
        <v>4.9672099999999997E-3</v>
      </c>
      <c r="G12" s="2">
        <v>1.4663143199999999</v>
      </c>
      <c r="H12" s="2">
        <v>0.63316231999999995</v>
      </c>
      <c r="I12" s="2">
        <v>4.15074E-3</v>
      </c>
      <c r="J12" s="2">
        <v>152.54195799999999</v>
      </c>
      <c r="K12" s="2">
        <v>2.1500776899999998</v>
      </c>
      <c r="L12" s="2">
        <v>1</v>
      </c>
      <c r="M12" s="2">
        <v>11</v>
      </c>
      <c r="N12" s="2">
        <v>0.17055866</v>
      </c>
      <c r="O12" s="2" t="b">
        <f t="shared" si="0"/>
        <v>0</v>
      </c>
      <c r="P12" s="2" t="s">
        <v>101</v>
      </c>
    </row>
    <row r="13" spans="1:16" x14ac:dyDescent="0.2">
      <c r="A13" s="2" t="s">
        <v>16</v>
      </c>
      <c r="B13" t="s">
        <v>76</v>
      </c>
      <c r="C13" t="s">
        <v>77</v>
      </c>
      <c r="D13" s="2">
        <v>8.7671999999999999E-4</v>
      </c>
      <c r="E13" s="2">
        <v>1.1922199999999999E-3</v>
      </c>
      <c r="F13" s="2">
        <v>1.2727230000000001E-2</v>
      </c>
      <c r="G13" s="2">
        <v>9.3674339999999995E-2</v>
      </c>
      <c r="H13" s="2">
        <v>0.63484633999999995</v>
      </c>
      <c r="I13" s="2">
        <v>1.0442099999999999E-2</v>
      </c>
      <c r="J13" s="2">
        <v>60.796793200000003</v>
      </c>
      <c r="K13" s="2">
        <v>8.7748800000000005E-3</v>
      </c>
      <c r="L13" s="2">
        <v>1</v>
      </c>
      <c r="M13" s="2">
        <v>10</v>
      </c>
      <c r="N13" s="2">
        <v>0.92721812999999997</v>
      </c>
      <c r="O13" s="2" t="b">
        <f t="shared" si="0"/>
        <v>0</v>
      </c>
      <c r="P13" s="2" t="s">
        <v>101</v>
      </c>
    </row>
    <row r="14" spans="1:16" x14ac:dyDescent="0.2">
      <c r="A14" s="2" t="s">
        <v>29</v>
      </c>
      <c r="B14" t="s">
        <v>76</v>
      </c>
      <c r="C14" t="s">
        <v>77</v>
      </c>
      <c r="D14" s="3">
        <v>9.7100000000000002E-6</v>
      </c>
      <c r="E14" s="3">
        <v>5.9299999999999998E-5</v>
      </c>
      <c r="F14" s="2">
        <v>6.0166999999999998E-3</v>
      </c>
      <c r="G14" s="2">
        <v>9.8522499999999999E-3</v>
      </c>
      <c r="H14" s="2">
        <v>0.63600723999999997</v>
      </c>
      <c r="I14" s="2">
        <v>4.9307500000000002E-3</v>
      </c>
      <c r="J14" s="2">
        <v>128.98785000000001</v>
      </c>
      <c r="K14" s="3">
        <v>9.7100000000000002E-5</v>
      </c>
      <c r="L14" s="2">
        <v>1</v>
      </c>
      <c r="M14" s="2">
        <v>10</v>
      </c>
      <c r="N14" s="2">
        <v>0.99233294999999999</v>
      </c>
      <c r="O14" s="2" t="b">
        <f t="shared" si="0"/>
        <v>0</v>
      </c>
      <c r="P14" s="2" t="s">
        <v>101</v>
      </c>
    </row>
    <row r="15" spans="1:16" x14ac:dyDescent="0.2">
      <c r="A15" s="2" t="s">
        <v>34</v>
      </c>
      <c r="B15" t="s">
        <v>76</v>
      </c>
      <c r="C15" t="s">
        <v>77</v>
      </c>
      <c r="D15" s="2">
        <v>6.1046499999999997E-3</v>
      </c>
      <c r="E15" s="2">
        <v>2.8334499999999999E-3</v>
      </c>
      <c r="F15" s="2">
        <v>1.2051299999999999E-2</v>
      </c>
      <c r="G15" s="2">
        <v>0.23511559000000001</v>
      </c>
      <c r="H15" s="2">
        <v>0.63773115000000002</v>
      </c>
      <c r="I15" s="2">
        <v>1.00096E-2</v>
      </c>
      <c r="J15" s="2">
        <v>63.711943599999998</v>
      </c>
      <c r="K15" s="2">
        <v>5.5279340000000003E-2</v>
      </c>
      <c r="L15" s="2">
        <v>1</v>
      </c>
      <c r="M15" s="2">
        <v>9</v>
      </c>
      <c r="N15" s="2">
        <v>0.81938133999999996</v>
      </c>
      <c r="O15" s="2" t="b">
        <f t="shared" si="0"/>
        <v>0</v>
      </c>
      <c r="P15" s="2" t="s">
        <v>101</v>
      </c>
    </row>
    <row r="16" spans="1:16" x14ac:dyDescent="0.2">
      <c r="A16" s="2" t="s">
        <v>42</v>
      </c>
      <c r="B16" t="s">
        <v>76</v>
      </c>
      <c r="C16" t="s">
        <v>77</v>
      </c>
      <c r="D16" s="2">
        <v>0.28046807000000001</v>
      </c>
      <c r="E16" s="2">
        <v>-2.8624199999999999E-2</v>
      </c>
      <c r="F16" s="2">
        <v>1.6209560000000001E-2</v>
      </c>
      <c r="G16" s="2">
        <v>-1.765882</v>
      </c>
      <c r="H16" s="2">
        <v>0.66108686999999999</v>
      </c>
      <c r="I16" s="2">
        <v>1.2851370000000001E-2</v>
      </c>
      <c r="J16" s="2">
        <v>51.440967700000002</v>
      </c>
      <c r="K16" s="2">
        <v>3.11833918</v>
      </c>
      <c r="L16" s="2">
        <v>1</v>
      </c>
      <c r="M16" s="2">
        <v>8</v>
      </c>
      <c r="N16" s="2">
        <v>0.11540813</v>
      </c>
      <c r="O16" s="2" t="b">
        <f t="shared" si="0"/>
        <v>0</v>
      </c>
      <c r="P16" s="2" t="s">
        <v>101</v>
      </c>
    </row>
    <row r="17" spans="1:16" x14ac:dyDescent="0.2">
      <c r="A17" s="2" t="s">
        <v>52</v>
      </c>
      <c r="B17" t="s">
        <v>76</v>
      </c>
      <c r="C17" t="s">
        <v>77</v>
      </c>
      <c r="D17" s="3">
        <v>8.4400000000000005E-6</v>
      </c>
      <c r="E17" s="2">
        <v>-1.752E-4</v>
      </c>
      <c r="F17" s="2">
        <v>1.9071790000000002E-2</v>
      </c>
      <c r="G17" s="2">
        <v>-9.1876000000000006E-3</v>
      </c>
      <c r="H17" s="2">
        <v>0.64253019</v>
      </c>
      <c r="I17" s="2">
        <v>1.5810459999999998E-2</v>
      </c>
      <c r="J17" s="2">
        <v>40.639563699999997</v>
      </c>
      <c r="K17" s="3">
        <v>8.4400000000000005E-5</v>
      </c>
      <c r="L17" s="2">
        <v>1</v>
      </c>
      <c r="M17" s="2">
        <v>10</v>
      </c>
      <c r="N17" s="2">
        <v>0.99285014000000005</v>
      </c>
      <c r="O17" s="2" t="b">
        <f t="shared" si="0"/>
        <v>0</v>
      </c>
      <c r="P17" s="2" t="s">
        <v>101</v>
      </c>
    </row>
    <row r="18" spans="1:16" x14ac:dyDescent="0.2">
      <c r="A18" s="2" t="s">
        <v>54</v>
      </c>
      <c r="B18" t="s">
        <v>76</v>
      </c>
      <c r="C18" t="s">
        <v>77</v>
      </c>
      <c r="D18" s="2">
        <v>0.11095494</v>
      </c>
      <c r="E18" s="2">
        <v>-1.40083E-2</v>
      </c>
      <c r="F18" s="2">
        <v>1.2539349999999999E-2</v>
      </c>
      <c r="G18" s="2">
        <v>-1.1171498</v>
      </c>
      <c r="H18" s="2">
        <v>0.64988372999999999</v>
      </c>
      <c r="I18" s="2">
        <v>1.0317150000000001E-2</v>
      </c>
      <c r="J18" s="2">
        <v>62.990648800000002</v>
      </c>
      <c r="K18" s="2">
        <v>1.2480237700000001</v>
      </c>
      <c r="L18" s="2">
        <v>1</v>
      </c>
      <c r="M18" s="2">
        <v>10</v>
      </c>
      <c r="N18" s="2">
        <v>0.29005176999999999</v>
      </c>
      <c r="O18" s="2" t="b">
        <f t="shared" si="0"/>
        <v>0</v>
      </c>
      <c r="P18" s="2" t="s">
        <v>101</v>
      </c>
    </row>
    <row r="19" spans="1:16" x14ac:dyDescent="0.2">
      <c r="A19" s="2" t="s">
        <v>59</v>
      </c>
      <c r="B19" t="s">
        <v>76</v>
      </c>
      <c r="C19" t="s">
        <v>77</v>
      </c>
      <c r="D19" s="2">
        <v>1.7325400000000001E-3</v>
      </c>
      <c r="E19" s="2">
        <v>-1.1584E-3</v>
      </c>
      <c r="F19" s="2">
        <v>9.2684499999999993E-3</v>
      </c>
      <c r="G19" s="2">
        <v>-0.1249799</v>
      </c>
      <c r="H19" s="2">
        <v>0.63611403</v>
      </c>
      <c r="I19" s="2">
        <v>7.3668300000000004E-3</v>
      </c>
      <c r="J19" s="2">
        <v>86.348380599999999</v>
      </c>
      <c r="K19" s="2">
        <v>1.561996E-2</v>
      </c>
      <c r="L19" s="2">
        <v>1</v>
      </c>
      <c r="M19" s="2">
        <v>9</v>
      </c>
      <c r="N19" s="2">
        <v>0.90328659</v>
      </c>
      <c r="O19" s="2" t="b">
        <f t="shared" si="0"/>
        <v>0</v>
      </c>
      <c r="P19" s="2" t="s">
        <v>101</v>
      </c>
    </row>
    <row r="20" spans="1:16" x14ac:dyDescent="0.2">
      <c r="A20" s="2" t="s">
        <v>61</v>
      </c>
      <c r="B20" t="s">
        <v>76</v>
      </c>
      <c r="C20" t="s">
        <v>77</v>
      </c>
      <c r="D20" s="2">
        <v>8.9135720000000002E-2</v>
      </c>
      <c r="E20" s="2">
        <v>-9.1827000000000002E-3</v>
      </c>
      <c r="F20" s="2">
        <v>9.2825900000000003E-3</v>
      </c>
      <c r="G20" s="2">
        <v>-0.98923410000000001</v>
      </c>
      <c r="H20" s="2">
        <v>0.64384481999999998</v>
      </c>
      <c r="I20" s="2">
        <v>7.6465300000000003E-3</v>
      </c>
      <c r="J20" s="2">
        <v>84.200951200000006</v>
      </c>
      <c r="K20" s="2">
        <v>0.97858403999999999</v>
      </c>
      <c r="L20" s="2">
        <v>1</v>
      </c>
      <c r="M20" s="2">
        <v>10</v>
      </c>
      <c r="N20" s="2">
        <v>0.34587996999999998</v>
      </c>
      <c r="O20" s="2" t="b">
        <f t="shared" si="0"/>
        <v>0</v>
      </c>
      <c r="P20" s="2" t="s">
        <v>101</v>
      </c>
    </row>
    <row r="21" spans="1:16" x14ac:dyDescent="0.2">
      <c r="A21" s="2" t="s">
        <v>63</v>
      </c>
      <c r="B21" t="s">
        <v>76</v>
      </c>
      <c r="C21" t="s">
        <v>77</v>
      </c>
      <c r="D21" s="2">
        <v>5.7162300000000001E-3</v>
      </c>
      <c r="E21" s="2">
        <v>-2.5173999999999999E-3</v>
      </c>
      <c r="F21" s="2">
        <v>1.0499079999999999E-2</v>
      </c>
      <c r="G21" s="2">
        <v>-0.23977270000000001</v>
      </c>
      <c r="H21" s="2">
        <v>0.64096692</v>
      </c>
      <c r="I21" s="2">
        <v>8.6473299999999999E-3</v>
      </c>
      <c r="J21" s="2">
        <v>74.123089399999998</v>
      </c>
      <c r="K21" s="2">
        <v>5.7490960000000001E-2</v>
      </c>
      <c r="L21" s="2">
        <v>1</v>
      </c>
      <c r="M21" s="2">
        <v>10</v>
      </c>
      <c r="N21" s="2">
        <v>0.81534974000000005</v>
      </c>
      <c r="O21" s="2" t="b">
        <f t="shared" si="0"/>
        <v>0</v>
      </c>
      <c r="P21" s="2" t="s">
        <v>101</v>
      </c>
    </row>
    <row r="22" spans="1:16" x14ac:dyDescent="0.2">
      <c r="A22" s="2" t="s">
        <v>67</v>
      </c>
      <c r="B22" t="s">
        <v>76</v>
      </c>
      <c r="C22" t="s">
        <v>77</v>
      </c>
      <c r="D22" s="2">
        <v>0.28399911</v>
      </c>
      <c r="E22" s="2">
        <v>1.456058E-2</v>
      </c>
      <c r="F22" s="2">
        <v>6.6740000000000002E-3</v>
      </c>
      <c r="G22" s="2">
        <v>2.1816864100000002</v>
      </c>
      <c r="H22" s="2">
        <v>0.62950711999999998</v>
      </c>
      <c r="I22" s="2">
        <v>5.6687999999999999E-3</v>
      </c>
      <c r="J22" s="2">
        <v>111.047634</v>
      </c>
      <c r="K22" s="2">
        <v>4.7597555900000001</v>
      </c>
      <c r="L22" s="2">
        <v>1</v>
      </c>
      <c r="M22" s="2">
        <v>12</v>
      </c>
      <c r="N22" s="2">
        <v>4.974336E-2</v>
      </c>
      <c r="O22" s="2" t="b">
        <f t="shared" si="0"/>
        <v>0</v>
      </c>
      <c r="P22" s="2" t="s">
        <v>101</v>
      </c>
    </row>
    <row r="23" spans="1:16" x14ac:dyDescent="0.2">
      <c r="A23" s="2" t="s">
        <v>17</v>
      </c>
      <c r="B23" t="s">
        <v>78</v>
      </c>
      <c r="C23" t="s">
        <v>79</v>
      </c>
      <c r="D23" s="2">
        <v>1.297563E-2</v>
      </c>
      <c r="E23" s="2">
        <v>-3.2582000000000002E-3</v>
      </c>
      <c r="F23" s="2">
        <v>7.8813400000000006E-3</v>
      </c>
      <c r="G23" s="2">
        <v>-0.41340139999999997</v>
      </c>
      <c r="H23" s="2">
        <v>0.64696465000000003</v>
      </c>
      <c r="I23" s="2">
        <v>6.95096E-3</v>
      </c>
      <c r="J23" s="2">
        <v>93.075573599999998</v>
      </c>
      <c r="K23" s="2">
        <v>0.17090073</v>
      </c>
      <c r="L23" s="2">
        <v>1</v>
      </c>
      <c r="M23" s="2">
        <v>13</v>
      </c>
      <c r="N23" s="2">
        <v>0.68605068999999996</v>
      </c>
      <c r="O23" s="2" t="b">
        <f t="shared" si="0"/>
        <v>0</v>
      </c>
      <c r="P23" s="2" t="s">
        <v>101</v>
      </c>
    </row>
    <row r="24" spans="1:16" x14ac:dyDescent="0.2">
      <c r="A24" s="2" t="s">
        <v>21</v>
      </c>
      <c r="B24" t="s">
        <v>78</v>
      </c>
      <c r="C24" t="s">
        <v>79</v>
      </c>
      <c r="D24" s="2">
        <v>0.26662145999999998</v>
      </c>
      <c r="E24" s="2">
        <v>1.5894430000000001E-2</v>
      </c>
      <c r="F24" s="2">
        <v>7.3112200000000002E-3</v>
      </c>
      <c r="G24" s="2">
        <v>2.1739779000000001</v>
      </c>
      <c r="H24" s="2">
        <v>0.63160802000000005</v>
      </c>
      <c r="I24" s="2">
        <v>6.5109399999999998E-3</v>
      </c>
      <c r="J24" s="2">
        <v>97.007204099999996</v>
      </c>
      <c r="K24" s="2">
        <v>4.7261799</v>
      </c>
      <c r="L24" s="2">
        <v>1</v>
      </c>
      <c r="M24" s="2">
        <v>13</v>
      </c>
      <c r="N24" s="2">
        <v>4.8770279999999999E-2</v>
      </c>
      <c r="O24" s="2" t="b">
        <f t="shared" si="0"/>
        <v>0</v>
      </c>
      <c r="P24" s="2" t="s">
        <v>101</v>
      </c>
    </row>
    <row r="25" spans="1:16" x14ac:dyDescent="0.2">
      <c r="A25" s="2" t="s">
        <v>23</v>
      </c>
      <c r="B25" t="s">
        <v>78</v>
      </c>
      <c r="C25" t="s">
        <v>79</v>
      </c>
      <c r="D25" s="2">
        <v>5.3533299999999999E-3</v>
      </c>
      <c r="E25" s="2">
        <v>1.78451E-3</v>
      </c>
      <c r="F25" s="2">
        <v>7.0218199999999998E-3</v>
      </c>
      <c r="G25" s="2">
        <v>0.25413722999999999</v>
      </c>
      <c r="H25" s="2">
        <v>0.64320980999999999</v>
      </c>
      <c r="I25" s="2">
        <v>6.1335499999999998E-3</v>
      </c>
      <c r="J25" s="2">
        <v>104.867422</v>
      </c>
      <c r="K25" s="2">
        <v>6.4585729999999994E-2</v>
      </c>
      <c r="L25" s="2">
        <v>1</v>
      </c>
      <c r="M25" s="2">
        <v>12</v>
      </c>
      <c r="N25" s="2">
        <v>0.80369195000000004</v>
      </c>
      <c r="O25" s="2" t="b">
        <f t="shared" si="0"/>
        <v>0</v>
      </c>
      <c r="P25" s="2" t="s">
        <v>101</v>
      </c>
    </row>
    <row r="26" spans="1:16" x14ac:dyDescent="0.2">
      <c r="A26" s="2" t="s">
        <v>27</v>
      </c>
      <c r="B26" t="s">
        <v>78</v>
      </c>
      <c r="C26" t="s">
        <v>79</v>
      </c>
      <c r="D26" s="2">
        <v>5.757466E-2</v>
      </c>
      <c r="E26" s="2">
        <v>1.1235E-2</v>
      </c>
      <c r="F26" s="2">
        <v>1.2606930000000001E-2</v>
      </c>
      <c r="G26" s="2">
        <v>0.89117679999999999</v>
      </c>
      <c r="H26" s="2">
        <v>0.63836665000000004</v>
      </c>
      <c r="I26" s="2">
        <v>1.1245160000000001E-2</v>
      </c>
      <c r="J26" s="2">
        <v>56.768110900000003</v>
      </c>
      <c r="K26" s="2">
        <v>0.79419609000000002</v>
      </c>
      <c r="L26" s="2">
        <v>1</v>
      </c>
      <c r="M26" s="2">
        <v>13</v>
      </c>
      <c r="N26" s="2">
        <v>0.38903082999999999</v>
      </c>
      <c r="O26" s="2" t="b">
        <f t="shared" si="0"/>
        <v>0</v>
      </c>
      <c r="P26" s="2" t="s">
        <v>101</v>
      </c>
    </row>
    <row r="27" spans="1:16" x14ac:dyDescent="0.2">
      <c r="A27" s="2" t="s">
        <v>33</v>
      </c>
      <c r="B27" t="s">
        <v>78</v>
      </c>
      <c r="C27" t="s">
        <v>79</v>
      </c>
      <c r="D27" s="2">
        <v>0.17483412000000001</v>
      </c>
      <c r="E27" s="2">
        <v>1.403679E-2</v>
      </c>
      <c r="F27" s="2">
        <v>8.4577300000000001E-3</v>
      </c>
      <c r="G27" s="2">
        <v>1.6596409700000001</v>
      </c>
      <c r="H27" s="2">
        <v>0.63417650000000003</v>
      </c>
      <c r="I27" s="2">
        <v>7.5153499999999996E-3</v>
      </c>
      <c r="J27" s="2">
        <v>84.384112200000004</v>
      </c>
      <c r="K27" s="2">
        <v>2.7544081399999998</v>
      </c>
      <c r="L27" s="2">
        <v>1</v>
      </c>
      <c r="M27" s="2">
        <v>13</v>
      </c>
      <c r="N27" s="2">
        <v>0.12090306000000001</v>
      </c>
      <c r="O27" s="2" t="b">
        <f t="shared" si="0"/>
        <v>0</v>
      </c>
      <c r="P27" s="2" t="s">
        <v>101</v>
      </c>
    </row>
    <row r="28" spans="1:16" x14ac:dyDescent="0.2">
      <c r="A28" s="2" t="s">
        <v>40</v>
      </c>
      <c r="B28" t="s">
        <v>78</v>
      </c>
      <c r="C28" t="s">
        <v>79</v>
      </c>
      <c r="D28" s="2">
        <v>1.6428729999999999E-2</v>
      </c>
      <c r="E28" s="2">
        <v>5.5223800000000003E-3</v>
      </c>
      <c r="F28" s="2">
        <v>1.185102E-2</v>
      </c>
      <c r="G28" s="2">
        <v>0.46598378000000001</v>
      </c>
      <c r="H28" s="2">
        <v>0.64222628999999998</v>
      </c>
      <c r="I28" s="2">
        <v>1.0594889999999999E-2</v>
      </c>
      <c r="J28" s="2">
        <v>60.616623300000001</v>
      </c>
      <c r="K28" s="2">
        <v>0.21714088000000001</v>
      </c>
      <c r="L28" s="2">
        <v>1</v>
      </c>
      <c r="M28" s="2">
        <v>13</v>
      </c>
      <c r="N28" s="2">
        <v>0.64893833999999995</v>
      </c>
      <c r="O28" s="2" t="b">
        <f t="shared" si="0"/>
        <v>0</v>
      </c>
      <c r="P28" s="2" t="s">
        <v>101</v>
      </c>
    </row>
    <row r="29" spans="1:16" x14ac:dyDescent="0.2">
      <c r="A29" s="2" t="s">
        <v>41</v>
      </c>
      <c r="B29" t="s">
        <v>78</v>
      </c>
      <c r="C29" t="s">
        <v>79</v>
      </c>
      <c r="D29" s="2">
        <v>0.16668524000000001</v>
      </c>
      <c r="E29" s="2">
        <v>1.7544629999999999E-2</v>
      </c>
      <c r="F29" s="2">
        <v>1.0879990000000001E-2</v>
      </c>
      <c r="G29" s="2">
        <v>1.61255938</v>
      </c>
      <c r="H29" s="2">
        <v>0.63355826999999998</v>
      </c>
      <c r="I29" s="2">
        <v>9.7049200000000006E-3</v>
      </c>
      <c r="J29" s="2">
        <v>65.282182199999994</v>
      </c>
      <c r="K29" s="2">
        <v>2.60034776</v>
      </c>
      <c r="L29" s="2">
        <v>1</v>
      </c>
      <c r="M29" s="2">
        <v>13</v>
      </c>
      <c r="N29" s="2">
        <v>0.13084123</v>
      </c>
      <c r="O29" s="2" t="b">
        <f t="shared" si="0"/>
        <v>0</v>
      </c>
      <c r="P29" s="2" t="s">
        <v>101</v>
      </c>
    </row>
    <row r="30" spans="1:16" x14ac:dyDescent="0.2">
      <c r="A30" s="2" t="s">
        <v>50</v>
      </c>
      <c r="B30" t="s">
        <v>78</v>
      </c>
      <c r="C30" t="s">
        <v>79</v>
      </c>
      <c r="D30" s="2">
        <v>9.9042420000000006E-2</v>
      </c>
      <c r="E30" s="2">
        <v>1.205618E-2</v>
      </c>
      <c r="F30" s="2">
        <v>1.008509E-2</v>
      </c>
      <c r="G30" s="2">
        <v>1.1954464300000001</v>
      </c>
      <c r="H30" s="2">
        <v>0.63679447</v>
      </c>
      <c r="I30" s="2">
        <v>8.9376300000000002E-3</v>
      </c>
      <c r="J30" s="2">
        <v>71.248676700000004</v>
      </c>
      <c r="K30" s="2">
        <v>1.4290921599999999</v>
      </c>
      <c r="L30" s="2">
        <v>1</v>
      </c>
      <c r="M30" s="2">
        <v>13</v>
      </c>
      <c r="N30" s="2">
        <v>0.25326470000000001</v>
      </c>
      <c r="O30" s="2" t="b">
        <f t="shared" si="0"/>
        <v>0</v>
      </c>
      <c r="P30" s="2" t="s">
        <v>101</v>
      </c>
    </row>
    <row r="31" spans="1:16" x14ac:dyDescent="0.2">
      <c r="A31" s="2" t="s">
        <v>56</v>
      </c>
      <c r="B31" t="s">
        <v>78</v>
      </c>
      <c r="C31" t="s">
        <v>79</v>
      </c>
      <c r="D31" s="2">
        <v>8.5777069999999997E-2</v>
      </c>
      <c r="E31" s="2">
        <v>1.421307E-2</v>
      </c>
      <c r="F31" s="2">
        <v>1.286935E-2</v>
      </c>
      <c r="G31" s="2">
        <v>1.1044122700000001</v>
      </c>
      <c r="H31" s="2">
        <v>0.63656948000000002</v>
      </c>
      <c r="I31" s="2">
        <v>1.156509E-2</v>
      </c>
      <c r="J31" s="2">
        <v>55.042304600000001</v>
      </c>
      <c r="K31" s="2">
        <v>1.21972646</v>
      </c>
      <c r="L31" s="2">
        <v>1</v>
      </c>
      <c r="M31" s="2">
        <v>13</v>
      </c>
      <c r="N31" s="2">
        <v>0.28943706000000002</v>
      </c>
      <c r="O31" s="2" t="b">
        <f t="shared" si="0"/>
        <v>0</v>
      </c>
      <c r="P31" s="2" t="s">
        <v>101</v>
      </c>
    </row>
    <row r="32" spans="1:16" x14ac:dyDescent="0.2">
      <c r="A32" s="2" t="s">
        <v>64</v>
      </c>
      <c r="B32" t="s">
        <v>78</v>
      </c>
      <c r="C32" t="s">
        <v>79</v>
      </c>
      <c r="D32" s="2">
        <v>7.2668060000000007E-2</v>
      </c>
      <c r="E32" s="2">
        <v>1.257487E-2</v>
      </c>
      <c r="F32" s="2">
        <v>1.200564E-2</v>
      </c>
      <c r="G32" s="2">
        <v>1.04741354</v>
      </c>
      <c r="H32" s="2">
        <v>0.63497475000000003</v>
      </c>
      <c r="I32" s="2">
        <v>1.108173E-2</v>
      </c>
      <c r="J32" s="2">
        <v>57.2992463</v>
      </c>
      <c r="K32" s="2">
        <v>1.0970751299999999</v>
      </c>
      <c r="L32" s="2">
        <v>1</v>
      </c>
      <c r="M32" s="2">
        <v>14</v>
      </c>
      <c r="N32" s="2">
        <v>0.31265596000000001</v>
      </c>
      <c r="O32" s="2" t="b">
        <f t="shared" si="0"/>
        <v>0</v>
      </c>
      <c r="P32" s="2" t="s">
        <v>101</v>
      </c>
    </row>
    <row r="33" spans="1:16" x14ac:dyDescent="0.2">
      <c r="A33" s="2" t="s">
        <v>13</v>
      </c>
      <c r="B33" t="s">
        <v>78</v>
      </c>
      <c r="C33" t="s">
        <v>80</v>
      </c>
      <c r="D33" s="2">
        <v>0.18337433</v>
      </c>
      <c r="E33" s="2">
        <v>1.8245770000000001E-2</v>
      </c>
      <c r="F33" s="2">
        <v>1.0679050000000001E-2</v>
      </c>
      <c r="G33" s="2">
        <v>1.70855687</v>
      </c>
      <c r="H33" s="2">
        <v>0.6264189</v>
      </c>
      <c r="I33" s="2">
        <v>9.6187800000000004E-3</v>
      </c>
      <c r="J33" s="2">
        <v>65.124548700000005</v>
      </c>
      <c r="K33" s="2">
        <v>2.9191665699999998</v>
      </c>
      <c r="L33" s="2">
        <v>1</v>
      </c>
      <c r="M33" s="2">
        <v>13</v>
      </c>
      <c r="N33" s="2">
        <v>0.11128325</v>
      </c>
      <c r="O33" s="2" t="b">
        <f t="shared" si="0"/>
        <v>0</v>
      </c>
      <c r="P33" s="2" t="s">
        <v>101</v>
      </c>
    </row>
    <row r="34" spans="1:16" x14ac:dyDescent="0.2">
      <c r="A34" s="2" t="s">
        <v>20</v>
      </c>
      <c r="B34" t="s">
        <v>78</v>
      </c>
      <c r="C34" t="s">
        <v>80</v>
      </c>
      <c r="D34" s="2">
        <v>0.11014976999999999</v>
      </c>
      <c r="E34" s="2">
        <v>9.8412499999999993E-3</v>
      </c>
      <c r="F34" s="2">
        <v>8.0747000000000006E-3</v>
      </c>
      <c r="G34" s="2">
        <v>1.2187762099999999</v>
      </c>
      <c r="H34" s="2">
        <v>0.63448943000000002</v>
      </c>
      <c r="I34" s="2">
        <v>7.0713900000000003E-3</v>
      </c>
      <c r="J34" s="2">
        <v>89.726290300000002</v>
      </c>
      <c r="K34" s="2">
        <v>1.4854154500000001</v>
      </c>
      <c r="L34" s="2">
        <v>1</v>
      </c>
      <c r="M34" s="2">
        <v>12</v>
      </c>
      <c r="N34" s="2">
        <v>0.24634687999999999</v>
      </c>
      <c r="O34" s="2" t="b">
        <f t="shared" si="0"/>
        <v>0</v>
      </c>
      <c r="P34" s="2" t="s">
        <v>101</v>
      </c>
    </row>
    <row r="35" spans="1:16" x14ac:dyDescent="0.2">
      <c r="A35" s="2" t="s">
        <v>26</v>
      </c>
      <c r="B35" t="s">
        <v>78</v>
      </c>
      <c r="C35" t="s">
        <v>80</v>
      </c>
      <c r="D35" s="2">
        <v>0.19857414000000001</v>
      </c>
      <c r="E35" s="2">
        <v>1.9803129999999999E-2</v>
      </c>
      <c r="F35" s="2">
        <v>1.103399E-2</v>
      </c>
      <c r="G35" s="2">
        <v>1.7947392099999999</v>
      </c>
      <c r="H35" s="2">
        <v>0.62908978000000004</v>
      </c>
      <c r="I35" s="2">
        <v>9.9040599999999993E-3</v>
      </c>
      <c r="J35" s="2">
        <v>63.518384699999999</v>
      </c>
      <c r="K35" s="2">
        <v>3.2210888400000002</v>
      </c>
      <c r="L35" s="2">
        <v>1</v>
      </c>
      <c r="M35" s="2">
        <v>13</v>
      </c>
      <c r="N35" s="2">
        <v>9.5969739999999998E-2</v>
      </c>
      <c r="O35" s="2" t="b">
        <f t="shared" si="0"/>
        <v>0</v>
      </c>
      <c r="P35" s="2" t="s">
        <v>101</v>
      </c>
    </row>
    <row r="36" spans="1:16" s="7" customFormat="1" x14ac:dyDescent="0.2">
      <c r="A36" s="8" t="s">
        <v>30</v>
      </c>
      <c r="B36" s="7" t="s">
        <v>78</v>
      </c>
      <c r="C36" s="7" t="s">
        <v>80</v>
      </c>
      <c r="D36" s="8">
        <v>0.58274271</v>
      </c>
      <c r="E36" s="8">
        <v>3.819989E-2</v>
      </c>
      <c r="F36" s="8">
        <v>8.9650800000000003E-3</v>
      </c>
      <c r="G36" s="8">
        <v>4.2609666500000003</v>
      </c>
      <c r="H36" s="8">
        <v>0.61127014999999996</v>
      </c>
      <c r="I36" s="8">
        <v>7.9771100000000008E-3</v>
      </c>
      <c r="J36" s="8">
        <v>76.628001400000002</v>
      </c>
      <c r="K36" s="8">
        <v>18.155836799999999</v>
      </c>
      <c r="L36" s="8">
        <v>1</v>
      </c>
      <c r="M36" s="8">
        <v>13</v>
      </c>
      <c r="N36" s="8">
        <v>9.2809999999999995E-4</v>
      </c>
      <c r="O36" s="8" t="b">
        <f t="shared" si="0"/>
        <v>1</v>
      </c>
      <c r="P36" s="8" t="s">
        <v>101</v>
      </c>
    </row>
    <row r="37" spans="1:16" x14ac:dyDescent="0.2">
      <c r="A37" s="2" t="s">
        <v>31</v>
      </c>
      <c r="B37" t="s">
        <v>78</v>
      </c>
      <c r="C37" t="s">
        <v>80</v>
      </c>
      <c r="D37" s="2">
        <v>0.27759855</v>
      </c>
      <c r="E37" s="2">
        <v>2.4620940000000001E-2</v>
      </c>
      <c r="F37" s="2">
        <v>1.101574E-2</v>
      </c>
      <c r="G37" s="2">
        <v>2.2350691600000001</v>
      </c>
      <c r="H37" s="2">
        <v>0.62407259000000004</v>
      </c>
      <c r="I37" s="2">
        <v>1.000003E-2</v>
      </c>
      <c r="J37" s="2">
        <v>62.407099799999997</v>
      </c>
      <c r="K37" s="2">
        <v>4.9955341500000001</v>
      </c>
      <c r="L37" s="2">
        <v>1</v>
      </c>
      <c r="M37" s="2">
        <v>13</v>
      </c>
      <c r="N37" s="2">
        <v>4.359184E-2</v>
      </c>
      <c r="O37" s="2" t="b">
        <f t="shared" si="0"/>
        <v>0</v>
      </c>
      <c r="P37" s="2" t="s">
        <v>101</v>
      </c>
    </row>
    <row r="38" spans="1:16" s="7" customFormat="1" x14ac:dyDescent="0.2">
      <c r="A38" s="8" t="s">
        <v>35</v>
      </c>
      <c r="B38" s="7" t="s">
        <v>78</v>
      </c>
      <c r="C38" s="7" t="s">
        <v>80</v>
      </c>
      <c r="D38" s="8">
        <v>0.66961166999999999</v>
      </c>
      <c r="E38" s="8">
        <v>2.7503730000000001E-2</v>
      </c>
      <c r="F38" s="8">
        <v>5.5770200000000002E-3</v>
      </c>
      <c r="G38" s="8">
        <v>4.9316219500000003</v>
      </c>
      <c r="H38" s="8">
        <v>0.62015461000000005</v>
      </c>
      <c r="I38" s="8">
        <v>4.8813099999999998E-3</v>
      </c>
      <c r="J38" s="8">
        <v>127.046885</v>
      </c>
      <c r="K38" s="8">
        <v>24.320895</v>
      </c>
      <c r="L38" s="8">
        <v>1</v>
      </c>
      <c r="M38" s="8">
        <v>12</v>
      </c>
      <c r="N38" s="8">
        <v>3.4694000000000001E-4</v>
      </c>
      <c r="O38" s="8" t="b">
        <f t="shared" si="0"/>
        <v>1</v>
      </c>
      <c r="P38" s="8" t="s">
        <v>101</v>
      </c>
    </row>
    <row r="39" spans="1:16" s="7" customFormat="1" x14ac:dyDescent="0.2">
      <c r="A39" s="8" t="s">
        <v>38</v>
      </c>
      <c r="B39" s="7" t="s">
        <v>78</v>
      </c>
      <c r="C39" s="7" t="s">
        <v>80</v>
      </c>
      <c r="D39" s="8">
        <v>0.61009342</v>
      </c>
      <c r="E39" s="8">
        <v>3.0210069999999999E-2</v>
      </c>
      <c r="F39" s="8">
        <v>6.6982600000000002E-3</v>
      </c>
      <c r="G39" s="8">
        <v>4.5101352300000004</v>
      </c>
      <c r="H39" s="8">
        <v>0.61791843000000002</v>
      </c>
      <c r="I39" s="8">
        <v>5.98877E-3</v>
      </c>
      <c r="J39" s="8">
        <v>103.179599</v>
      </c>
      <c r="K39" s="8">
        <v>20.341319800000001</v>
      </c>
      <c r="L39" s="8">
        <v>1</v>
      </c>
      <c r="M39" s="8">
        <v>13</v>
      </c>
      <c r="N39" s="8">
        <v>5.8631999999999998E-4</v>
      </c>
      <c r="O39" s="8" t="b">
        <f t="shared" si="0"/>
        <v>1</v>
      </c>
      <c r="P39" s="8" t="s">
        <v>101</v>
      </c>
    </row>
    <row r="40" spans="1:16" x14ac:dyDescent="0.2">
      <c r="A40" s="2" t="s">
        <v>43</v>
      </c>
      <c r="B40" t="s">
        <v>78</v>
      </c>
      <c r="C40" t="s">
        <v>80</v>
      </c>
      <c r="D40" s="2">
        <v>0.24300429000000001</v>
      </c>
      <c r="E40" s="2">
        <v>1.9505020000000001E-2</v>
      </c>
      <c r="F40" s="2">
        <v>9.5480400000000007E-3</v>
      </c>
      <c r="G40" s="2">
        <v>2.0428286500000001</v>
      </c>
      <c r="H40" s="2">
        <v>0.62710049999999995</v>
      </c>
      <c r="I40" s="2">
        <v>8.5144899999999996E-3</v>
      </c>
      <c r="J40" s="2">
        <v>73.651003700000004</v>
      </c>
      <c r="K40" s="2">
        <v>4.1731488700000003</v>
      </c>
      <c r="L40" s="2">
        <v>1</v>
      </c>
      <c r="M40" s="2">
        <v>13</v>
      </c>
      <c r="N40" s="2">
        <v>6.1891469999999997E-2</v>
      </c>
      <c r="O40" s="2" t="b">
        <f t="shared" si="0"/>
        <v>0</v>
      </c>
      <c r="P40" s="2" t="s">
        <v>101</v>
      </c>
    </row>
    <row r="41" spans="1:16" s="7" customFormat="1" x14ac:dyDescent="0.2">
      <c r="A41" s="8" t="s">
        <v>71</v>
      </c>
      <c r="B41" s="7" t="s">
        <v>78</v>
      </c>
      <c r="C41" s="7" t="s">
        <v>80</v>
      </c>
      <c r="D41" s="8">
        <v>0.53686743000000003</v>
      </c>
      <c r="E41" s="8">
        <v>2.5278149999999999E-2</v>
      </c>
      <c r="F41" s="8">
        <v>6.5116699999999998E-3</v>
      </c>
      <c r="G41" s="8">
        <v>3.8819733099999998</v>
      </c>
      <c r="H41" s="8">
        <v>0.62183878999999997</v>
      </c>
      <c r="I41" s="8">
        <v>5.8259999999999996E-3</v>
      </c>
      <c r="J41" s="8">
        <v>106.735106</v>
      </c>
      <c r="K41" s="8">
        <v>15.0697168</v>
      </c>
      <c r="L41" s="8">
        <v>1</v>
      </c>
      <c r="M41" s="8">
        <v>13</v>
      </c>
      <c r="N41" s="8">
        <v>1.8895400000000001E-3</v>
      </c>
      <c r="O41" s="8" t="b">
        <f t="shared" si="0"/>
        <v>1</v>
      </c>
      <c r="P41" s="8" t="s">
        <v>101</v>
      </c>
    </row>
    <row r="42" spans="1:16" x14ac:dyDescent="0.2">
      <c r="A42" s="2" t="s">
        <v>14</v>
      </c>
      <c r="B42" t="s">
        <v>78</v>
      </c>
      <c r="C42" t="s">
        <v>81</v>
      </c>
      <c r="D42" s="2">
        <v>0.18122326999999999</v>
      </c>
      <c r="E42" s="2">
        <v>3.0630379999999999E-2</v>
      </c>
      <c r="F42" s="2">
        <v>1.7400590000000001E-2</v>
      </c>
      <c r="G42" s="2">
        <v>1.76030635</v>
      </c>
      <c r="H42" s="2">
        <v>0.62154328999999997</v>
      </c>
      <c r="I42" s="2">
        <v>1.614467E-2</v>
      </c>
      <c r="J42" s="2">
        <v>38.498364799999997</v>
      </c>
      <c r="K42" s="2">
        <v>3.0986784599999999</v>
      </c>
      <c r="L42" s="2">
        <v>1</v>
      </c>
      <c r="M42" s="2">
        <v>14</v>
      </c>
      <c r="N42" s="2">
        <v>0.10017548</v>
      </c>
      <c r="O42" s="2" t="b">
        <f t="shared" si="0"/>
        <v>0</v>
      </c>
      <c r="P42" s="2" t="s">
        <v>101</v>
      </c>
    </row>
    <row r="43" spans="1:16" x14ac:dyDescent="0.2">
      <c r="A43" s="2" t="s">
        <v>22</v>
      </c>
      <c r="B43" t="s">
        <v>78</v>
      </c>
      <c r="C43" t="s">
        <v>81</v>
      </c>
      <c r="D43" s="2">
        <v>0.1197039</v>
      </c>
      <c r="E43" s="2">
        <v>2.3975170000000001E-2</v>
      </c>
      <c r="F43" s="2">
        <v>1.7376320000000001E-2</v>
      </c>
      <c r="G43" s="2">
        <v>1.3797607199999999</v>
      </c>
      <c r="H43" s="2">
        <v>0.62711885999999994</v>
      </c>
      <c r="I43" s="2">
        <v>1.6040530000000001E-2</v>
      </c>
      <c r="J43" s="2">
        <v>39.095895800000001</v>
      </c>
      <c r="K43" s="2">
        <v>1.90373964</v>
      </c>
      <c r="L43" s="2">
        <v>1</v>
      </c>
      <c r="M43" s="2">
        <v>14</v>
      </c>
      <c r="N43" s="2">
        <v>0.18929950000000001</v>
      </c>
      <c r="O43" s="2" t="b">
        <f t="shared" si="0"/>
        <v>0</v>
      </c>
      <c r="P43" s="2" t="s">
        <v>101</v>
      </c>
    </row>
    <row r="44" spans="1:16" x14ac:dyDescent="0.2">
      <c r="A44" s="2" t="s">
        <v>24</v>
      </c>
      <c r="B44" t="s">
        <v>78</v>
      </c>
      <c r="C44" t="s">
        <v>81</v>
      </c>
      <c r="D44" s="2">
        <v>0.19414915999999999</v>
      </c>
      <c r="E44" s="2">
        <v>2.1828110000000001E-2</v>
      </c>
      <c r="F44" s="2">
        <v>1.2333999999999999E-2</v>
      </c>
      <c r="G44" s="2">
        <v>1.76975076</v>
      </c>
      <c r="H44" s="2">
        <v>0.62587881999999995</v>
      </c>
      <c r="I44" s="2">
        <v>1.10311E-2</v>
      </c>
      <c r="J44" s="2">
        <v>56.737671300000002</v>
      </c>
      <c r="K44" s="2">
        <v>3.1320177600000001</v>
      </c>
      <c r="L44" s="2">
        <v>1</v>
      </c>
      <c r="M44" s="2">
        <v>13</v>
      </c>
      <c r="N44" s="2">
        <v>0.1002041</v>
      </c>
      <c r="O44" s="2" t="b">
        <f t="shared" si="0"/>
        <v>0</v>
      </c>
      <c r="P44" s="2" t="s">
        <v>101</v>
      </c>
    </row>
    <row r="45" spans="1:16" x14ac:dyDescent="0.2">
      <c r="A45" s="2" t="s">
        <v>25</v>
      </c>
      <c r="B45" t="s">
        <v>78</v>
      </c>
      <c r="C45" t="s">
        <v>81</v>
      </c>
      <c r="D45" s="2">
        <v>0.27955624000000001</v>
      </c>
      <c r="E45" s="2">
        <v>2.6405850000000002E-2</v>
      </c>
      <c r="F45" s="2">
        <v>1.1756930000000001E-2</v>
      </c>
      <c r="G45" s="2">
        <v>2.2459817700000002</v>
      </c>
      <c r="H45" s="2">
        <v>0.62494852000000001</v>
      </c>
      <c r="I45" s="2">
        <v>1.0490090000000001E-2</v>
      </c>
      <c r="J45" s="2">
        <v>59.575148599999999</v>
      </c>
      <c r="K45" s="2">
        <v>5.04443413</v>
      </c>
      <c r="L45" s="2">
        <v>1</v>
      </c>
      <c r="M45" s="2">
        <v>13</v>
      </c>
      <c r="N45" s="2">
        <v>4.2723160000000003E-2</v>
      </c>
      <c r="O45" s="2" t="b">
        <f t="shared" si="0"/>
        <v>0</v>
      </c>
      <c r="P45" s="2" t="s">
        <v>101</v>
      </c>
    </row>
    <row r="46" spans="1:16" x14ac:dyDescent="0.2">
      <c r="A46" s="2" t="s">
        <v>28</v>
      </c>
      <c r="B46" t="s">
        <v>78</v>
      </c>
      <c r="C46" t="s">
        <v>81</v>
      </c>
      <c r="D46" s="2">
        <v>0.30175401000000002</v>
      </c>
      <c r="E46" s="2">
        <v>2.1321329999999999E-2</v>
      </c>
      <c r="F46" s="2">
        <v>8.9954000000000006E-3</v>
      </c>
      <c r="G46" s="2">
        <v>2.37024904</v>
      </c>
      <c r="H46" s="2">
        <v>0.62626598</v>
      </c>
      <c r="I46" s="2">
        <v>8.0076899999999996E-3</v>
      </c>
      <c r="J46" s="2">
        <v>78.208104000000006</v>
      </c>
      <c r="K46" s="2">
        <v>5.6180805100000004</v>
      </c>
      <c r="L46" s="2">
        <v>1</v>
      </c>
      <c r="M46" s="2">
        <v>13</v>
      </c>
      <c r="N46" s="2">
        <v>3.3920169999999999E-2</v>
      </c>
      <c r="O46" s="2" t="b">
        <f t="shared" si="0"/>
        <v>0</v>
      </c>
      <c r="P46" s="2" t="s">
        <v>101</v>
      </c>
    </row>
    <row r="47" spans="1:16" x14ac:dyDescent="0.2">
      <c r="A47" s="2" t="s">
        <v>44</v>
      </c>
      <c r="B47" t="s">
        <v>78</v>
      </c>
      <c r="C47" t="s">
        <v>81</v>
      </c>
      <c r="D47" s="2">
        <v>0.11576024</v>
      </c>
      <c r="E47" s="2">
        <v>2.502855E-2</v>
      </c>
      <c r="F47" s="2">
        <v>1.8487449999999999E-2</v>
      </c>
      <c r="G47" s="2">
        <v>1.35381306</v>
      </c>
      <c r="H47" s="2">
        <v>0.62771838000000002</v>
      </c>
      <c r="I47" s="2">
        <v>1.7097299999999999E-2</v>
      </c>
      <c r="J47" s="2">
        <v>36.714480700000003</v>
      </c>
      <c r="K47" s="2">
        <v>1.8328098100000001</v>
      </c>
      <c r="L47" s="2">
        <v>1</v>
      </c>
      <c r="M47" s="2">
        <v>14</v>
      </c>
      <c r="N47" s="2">
        <v>0.1972487</v>
      </c>
      <c r="O47" s="2" t="b">
        <f t="shared" si="0"/>
        <v>0</v>
      </c>
      <c r="P47" s="2" t="s">
        <v>101</v>
      </c>
    </row>
    <row r="48" spans="1:16" x14ac:dyDescent="0.2">
      <c r="A48" s="2" t="s">
        <v>51</v>
      </c>
      <c r="B48" t="s">
        <v>78</v>
      </c>
      <c r="C48" t="s">
        <v>81</v>
      </c>
      <c r="D48" s="2">
        <v>0.18379135999999999</v>
      </c>
      <c r="E48" s="2">
        <v>3.2601980000000003E-2</v>
      </c>
      <c r="F48" s="2">
        <v>1.836192E-2</v>
      </c>
      <c r="G48" s="2">
        <v>1.7755216199999999</v>
      </c>
      <c r="H48" s="2">
        <v>0.61869147999999996</v>
      </c>
      <c r="I48" s="2">
        <v>1.6917109999999999E-2</v>
      </c>
      <c r="J48" s="2">
        <v>36.571936299999997</v>
      </c>
      <c r="K48" s="2">
        <v>3.1524770200000001</v>
      </c>
      <c r="L48" s="2">
        <v>1</v>
      </c>
      <c r="M48" s="2">
        <v>14</v>
      </c>
      <c r="N48" s="2">
        <v>9.7544539999999999E-2</v>
      </c>
      <c r="O48" s="2" t="b">
        <f t="shared" si="0"/>
        <v>0</v>
      </c>
      <c r="P48" s="2" t="s">
        <v>101</v>
      </c>
    </row>
    <row r="49" spans="1:16" x14ac:dyDescent="0.2">
      <c r="A49" s="2" t="s">
        <v>57</v>
      </c>
      <c r="B49" t="s">
        <v>78</v>
      </c>
      <c r="C49" t="s">
        <v>81</v>
      </c>
      <c r="D49" s="2">
        <v>0.13674161000000001</v>
      </c>
      <c r="E49" s="2">
        <v>2.2976770000000001E-2</v>
      </c>
      <c r="F49" s="2">
        <v>1.542925E-2</v>
      </c>
      <c r="G49" s="2">
        <v>1.48916892</v>
      </c>
      <c r="H49" s="2">
        <v>0.62632893999999995</v>
      </c>
      <c r="I49" s="2">
        <v>1.4263400000000001E-2</v>
      </c>
      <c r="J49" s="2">
        <v>43.911627299999999</v>
      </c>
      <c r="K49" s="2">
        <v>2.2176240800000002</v>
      </c>
      <c r="L49" s="2">
        <v>1</v>
      </c>
      <c r="M49" s="2">
        <v>14</v>
      </c>
      <c r="N49" s="2">
        <v>0.15862222000000001</v>
      </c>
      <c r="O49" s="2" t="b">
        <f t="shared" si="0"/>
        <v>0</v>
      </c>
      <c r="P49" s="2" t="s">
        <v>101</v>
      </c>
    </row>
    <row r="50" spans="1:16" x14ac:dyDescent="0.2">
      <c r="A50" s="2" t="s">
        <v>60</v>
      </c>
      <c r="B50" t="s">
        <v>78</v>
      </c>
      <c r="C50" t="s">
        <v>81</v>
      </c>
      <c r="D50" s="2">
        <v>0.17084883000000001</v>
      </c>
      <c r="E50" s="2">
        <v>3.0981479999999999E-2</v>
      </c>
      <c r="F50" s="2">
        <v>1.8929600000000001E-2</v>
      </c>
      <c r="G50" s="2">
        <v>1.6366688899999999</v>
      </c>
      <c r="H50" s="2">
        <v>0.62138190999999998</v>
      </c>
      <c r="I50" s="2">
        <v>1.7121419999999998E-2</v>
      </c>
      <c r="J50" s="2">
        <v>36.2926523</v>
      </c>
      <c r="K50" s="2">
        <v>2.67868504</v>
      </c>
      <c r="L50" s="2">
        <v>1</v>
      </c>
      <c r="M50" s="2">
        <v>13</v>
      </c>
      <c r="N50" s="2">
        <v>0.12566672000000001</v>
      </c>
      <c r="O50" s="2" t="b">
        <f t="shared" si="0"/>
        <v>0</v>
      </c>
      <c r="P50" s="2" t="s">
        <v>101</v>
      </c>
    </row>
    <row r="51" spans="1:16" x14ac:dyDescent="0.2">
      <c r="A51" s="2" t="s">
        <v>70</v>
      </c>
      <c r="B51" t="s">
        <v>78</v>
      </c>
      <c r="C51" t="s">
        <v>81</v>
      </c>
      <c r="D51" s="2">
        <v>0.14741879999999999</v>
      </c>
      <c r="E51" s="2">
        <v>2.7880749999999999E-2</v>
      </c>
      <c r="F51" s="2">
        <v>1.7919750000000002E-2</v>
      </c>
      <c r="G51" s="2">
        <v>1.5558674100000001</v>
      </c>
      <c r="H51" s="2">
        <v>0.62435028000000004</v>
      </c>
      <c r="I51" s="2">
        <v>1.661197E-2</v>
      </c>
      <c r="J51" s="2">
        <v>37.584358199999997</v>
      </c>
      <c r="K51" s="2">
        <v>2.42072339</v>
      </c>
      <c r="L51" s="2">
        <v>1</v>
      </c>
      <c r="M51" s="2">
        <v>14</v>
      </c>
      <c r="N51" s="2">
        <v>0.14205087</v>
      </c>
      <c r="O51" s="2" t="b">
        <f t="shared" si="0"/>
        <v>0</v>
      </c>
      <c r="P51" s="2" t="s">
        <v>101</v>
      </c>
    </row>
    <row r="52" spans="1:16" x14ac:dyDescent="0.2">
      <c r="A52" s="2" t="s">
        <v>18</v>
      </c>
      <c r="B52" t="s">
        <v>78</v>
      </c>
      <c r="C52" t="s">
        <v>82</v>
      </c>
      <c r="D52" s="2">
        <v>0.15286559999999999</v>
      </c>
      <c r="E52" s="2">
        <v>2.093312E-2</v>
      </c>
      <c r="F52" s="2">
        <v>1.317016E-2</v>
      </c>
      <c r="G52" s="2">
        <v>1.5894348899999999</v>
      </c>
      <c r="H52" s="2">
        <v>0.62648351000000002</v>
      </c>
      <c r="I52" s="2">
        <v>1.2013050000000001E-2</v>
      </c>
      <c r="J52" s="2">
        <v>52.150265900000001</v>
      </c>
      <c r="K52" s="2">
        <v>2.52630329</v>
      </c>
      <c r="L52" s="2">
        <v>1</v>
      </c>
      <c r="M52" s="2">
        <v>14</v>
      </c>
      <c r="N52" s="2">
        <v>0.13428377999999999</v>
      </c>
      <c r="O52" s="2" t="b">
        <f t="shared" si="0"/>
        <v>0</v>
      </c>
      <c r="P52" s="2" t="s">
        <v>101</v>
      </c>
    </row>
    <row r="53" spans="1:16" x14ac:dyDescent="0.2">
      <c r="A53" s="2" t="s">
        <v>19</v>
      </c>
      <c r="B53" t="s">
        <v>78</v>
      </c>
      <c r="C53" t="s">
        <v>82</v>
      </c>
      <c r="D53" s="2">
        <v>0.23418279</v>
      </c>
      <c r="E53" s="2">
        <v>2.4389190000000002E-2</v>
      </c>
      <c r="F53" s="2">
        <v>1.2232369999999999E-2</v>
      </c>
      <c r="G53" s="2">
        <v>1.99382299</v>
      </c>
      <c r="H53" s="2">
        <v>0.62590809000000003</v>
      </c>
      <c r="I53" s="2">
        <v>1.089933E-2</v>
      </c>
      <c r="J53" s="2">
        <v>57.426305999999997</v>
      </c>
      <c r="K53" s="2">
        <v>3.9753301200000002</v>
      </c>
      <c r="L53" s="2">
        <v>1</v>
      </c>
      <c r="M53" s="2">
        <v>13</v>
      </c>
      <c r="N53" s="2">
        <v>6.7583450000000003E-2</v>
      </c>
      <c r="O53" s="2" t="b">
        <f t="shared" si="0"/>
        <v>0</v>
      </c>
      <c r="P53" s="2" t="s">
        <v>101</v>
      </c>
    </row>
    <row r="54" spans="1:16" x14ac:dyDescent="0.2">
      <c r="A54" s="2" t="s">
        <v>32</v>
      </c>
      <c r="B54" t="s">
        <v>78</v>
      </c>
      <c r="C54" t="s">
        <v>82</v>
      </c>
      <c r="D54" s="2">
        <v>0.26078526000000002</v>
      </c>
      <c r="E54" s="2">
        <v>2.3415149999999999E-2</v>
      </c>
      <c r="F54" s="2">
        <v>1.13802E-2</v>
      </c>
      <c r="G54" s="2">
        <v>2.0575331399999999</v>
      </c>
      <c r="H54" s="2">
        <v>0.62584328</v>
      </c>
      <c r="I54" s="2">
        <v>9.9451599999999998E-3</v>
      </c>
      <c r="J54" s="2">
        <v>62.929444799999999</v>
      </c>
      <c r="K54" s="2">
        <v>4.23344261</v>
      </c>
      <c r="L54" s="2">
        <v>1</v>
      </c>
      <c r="M54" s="2">
        <v>12</v>
      </c>
      <c r="N54" s="2">
        <v>6.2040739999999997E-2</v>
      </c>
      <c r="O54" s="2" t="b">
        <f t="shared" si="0"/>
        <v>0</v>
      </c>
      <c r="P54" s="2" t="s">
        <v>101</v>
      </c>
    </row>
    <row r="55" spans="1:16" s="7" customFormat="1" x14ac:dyDescent="0.2">
      <c r="A55" s="8" t="s">
        <v>36</v>
      </c>
      <c r="B55" s="7" t="s">
        <v>78</v>
      </c>
      <c r="C55" s="7" t="s">
        <v>82</v>
      </c>
      <c r="D55" s="8">
        <v>0.46473284999999998</v>
      </c>
      <c r="E55" s="8">
        <v>4.676027E-2</v>
      </c>
      <c r="F55" s="8">
        <v>1.3918389999999999E-2</v>
      </c>
      <c r="G55" s="8">
        <v>3.3596038300000002</v>
      </c>
      <c r="H55" s="8">
        <v>0.60400244999999997</v>
      </c>
      <c r="I55" s="8">
        <v>1.2210199999999999E-2</v>
      </c>
      <c r="J55" s="8">
        <v>49.467037099999999</v>
      </c>
      <c r="K55" s="8">
        <v>11.2869379</v>
      </c>
      <c r="L55" s="8">
        <v>1</v>
      </c>
      <c r="M55" s="8">
        <v>13</v>
      </c>
      <c r="N55" s="8">
        <v>5.12519E-3</v>
      </c>
      <c r="O55" s="8" t="b">
        <f t="shared" si="0"/>
        <v>1</v>
      </c>
      <c r="P55" s="8" t="s">
        <v>101</v>
      </c>
    </row>
    <row r="56" spans="1:16" x14ac:dyDescent="0.2">
      <c r="A56" s="2" t="s">
        <v>47</v>
      </c>
      <c r="B56" t="s">
        <v>78</v>
      </c>
      <c r="C56" t="s">
        <v>82</v>
      </c>
      <c r="D56" s="2">
        <v>0.28573104999999999</v>
      </c>
      <c r="E56" s="2">
        <v>1.8937699999999998E-2</v>
      </c>
      <c r="F56" s="2">
        <v>8.6434800000000003E-3</v>
      </c>
      <c r="G56" s="2">
        <v>2.1909802300000001</v>
      </c>
      <c r="H56" s="2">
        <v>0.62764805999999995</v>
      </c>
      <c r="I56" s="2">
        <v>7.6685199999999999E-3</v>
      </c>
      <c r="J56" s="2">
        <v>81.847349699999995</v>
      </c>
      <c r="K56" s="2">
        <v>4.8003943900000001</v>
      </c>
      <c r="L56" s="2">
        <v>1</v>
      </c>
      <c r="M56" s="2">
        <v>12</v>
      </c>
      <c r="N56" s="2">
        <v>4.8921829999999999E-2</v>
      </c>
      <c r="O56" s="2" t="b">
        <f t="shared" si="0"/>
        <v>0</v>
      </c>
      <c r="P56" s="2" t="s">
        <v>101</v>
      </c>
    </row>
    <row r="57" spans="1:16" x14ac:dyDescent="0.2">
      <c r="A57" s="2" t="s">
        <v>48</v>
      </c>
      <c r="B57" t="s">
        <v>78</v>
      </c>
      <c r="C57" t="s">
        <v>82</v>
      </c>
      <c r="D57" s="2">
        <v>0.33093792999999999</v>
      </c>
      <c r="E57" s="2">
        <v>2.4591310000000002E-2</v>
      </c>
      <c r="F57" s="2">
        <v>9.6977299999999999E-3</v>
      </c>
      <c r="G57" s="2">
        <v>2.5357809900000001</v>
      </c>
      <c r="H57" s="2">
        <v>0.62629429000000003</v>
      </c>
      <c r="I57" s="2">
        <v>8.6067100000000001E-3</v>
      </c>
      <c r="J57" s="2">
        <v>72.768179799999999</v>
      </c>
      <c r="K57" s="2">
        <v>6.4301852100000003</v>
      </c>
      <c r="L57" s="2">
        <v>1</v>
      </c>
      <c r="M57" s="2">
        <v>13</v>
      </c>
      <c r="N57" s="2">
        <v>2.4851930000000001E-2</v>
      </c>
      <c r="O57" s="2" t="b">
        <f t="shared" si="0"/>
        <v>0</v>
      </c>
      <c r="P57" s="2" t="s">
        <v>101</v>
      </c>
    </row>
    <row r="58" spans="1:16" x14ac:dyDescent="0.2">
      <c r="A58" s="2" t="s">
        <v>53</v>
      </c>
      <c r="B58" t="s">
        <v>78</v>
      </c>
      <c r="C58" t="s">
        <v>82</v>
      </c>
      <c r="D58" s="2">
        <v>0.36135394999999998</v>
      </c>
      <c r="E58" s="2">
        <v>2.3233259999999999E-2</v>
      </c>
      <c r="F58" s="2">
        <v>8.9162700000000004E-3</v>
      </c>
      <c r="G58" s="2">
        <v>2.6057149800000001</v>
      </c>
      <c r="H58" s="2">
        <v>0.62436804999999995</v>
      </c>
      <c r="I58" s="2">
        <v>7.8364300000000001E-3</v>
      </c>
      <c r="J58" s="2">
        <v>79.675100599999993</v>
      </c>
      <c r="K58" s="2">
        <v>6.7897505599999999</v>
      </c>
      <c r="L58" s="2">
        <v>1</v>
      </c>
      <c r="M58" s="2">
        <v>12</v>
      </c>
      <c r="N58" s="2">
        <v>2.2982490000000001E-2</v>
      </c>
      <c r="O58" s="2" t="b">
        <f t="shared" si="0"/>
        <v>0</v>
      </c>
      <c r="P58" s="2" t="s">
        <v>101</v>
      </c>
    </row>
    <row r="59" spans="1:16" x14ac:dyDescent="0.2">
      <c r="A59" s="2" t="s">
        <v>55</v>
      </c>
      <c r="B59" t="s">
        <v>78</v>
      </c>
      <c r="C59" t="s">
        <v>82</v>
      </c>
      <c r="D59" s="2">
        <v>0.22710649999999999</v>
      </c>
      <c r="E59" s="2">
        <v>3.1172169999999999E-2</v>
      </c>
      <c r="F59" s="2">
        <v>1.594926E-2</v>
      </c>
      <c r="G59" s="2">
        <v>1.95445932</v>
      </c>
      <c r="H59" s="2">
        <v>0.62220876999999997</v>
      </c>
      <c r="I59" s="2">
        <v>1.4212260000000001E-2</v>
      </c>
      <c r="J59" s="2">
        <v>43.779732699999997</v>
      </c>
      <c r="K59" s="2">
        <v>3.8199112400000002</v>
      </c>
      <c r="L59" s="2">
        <v>1</v>
      </c>
      <c r="M59" s="2">
        <v>13</v>
      </c>
      <c r="N59" s="2">
        <v>7.2499869999999994E-2</v>
      </c>
      <c r="O59" s="2" t="b">
        <f t="shared" si="0"/>
        <v>0</v>
      </c>
      <c r="P59" s="2" t="s">
        <v>101</v>
      </c>
    </row>
    <row r="60" spans="1:16" s="7" customFormat="1" x14ac:dyDescent="0.2">
      <c r="A60" s="8" t="s">
        <v>68</v>
      </c>
      <c r="B60" s="7" t="s">
        <v>78</v>
      </c>
      <c r="C60" s="7" t="s">
        <v>82</v>
      </c>
      <c r="D60" s="8">
        <v>0.42703278</v>
      </c>
      <c r="E60" s="8">
        <v>2.5546800000000001E-2</v>
      </c>
      <c r="F60" s="8">
        <v>8.2072800000000008E-3</v>
      </c>
      <c r="G60" s="8">
        <v>3.1127009000000001</v>
      </c>
      <c r="H60" s="8">
        <v>0.62290491999999997</v>
      </c>
      <c r="I60" s="8">
        <v>7.3110900000000001E-3</v>
      </c>
      <c r="J60" s="8">
        <v>85.200021599999999</v>
      </c>
      <c r="K60" s="8">
        <v>9.68890691</v>
      </c>
      <c r="L60" s="8">
        <v>1</v>
      </c>
      <c r="M60" s="8">
        <v>13</v>
      </c>
      <c r="N60" s="8">
        <v>8.24276E-3</v>
      </c>
      <c r="O60" s="8" t="b">
        <f t="shared" si="0"/>
        <v>1</v>
      </c>
      <c r="P60" s="8" t="s">
        <v>101</v>
      </c>
    </row>
    <row r="61" spans="1:16" x14ac:dyDescent="0.2">
      <c r="A61" s="2" t="s">
        <v>69</v>
      </c>
      <c r="B61" t="s">
        <v>78</v>
      </c>
      <c r="C61" t="s">
        <v>82</v>
      </c>
      <c r="D61" s="2">
        <v>0.21684903</v>
      </c>
      <c r="E61" s="2">
        <v>2.624423E-2</v>
      </c>
      <c r="F61" s="2">
        <v>1.383267E-2</v>
      </c>
      <c r="G61" s="2">
        <v>1.8972636000000001</v>
      </c>
      <c r="H61" s="2">
        <v>0.62485069000000004</v>
      </c>
      <c r="I61" s="2">
        <v>1.23689E-2</v>
      </c>
      <c r="J61" s="2">
        <v>50.517891900000002</v>
      </c>
      <c r="K61" s="2">
        <v>3.5996091799999999</v>
      </c>
      <c r="L61" s="2">
        <v>1</v>
      </c>
      <c r="M61" s="2">
        <v>13</v>
      </c>
      <c r="N61" s="2">
        <v>8.0227519999999997E-2</v>
      </c>
      <c r="O61" s="2" t="b">
        <f t="shared" si="0"/>
        <v>0</v>
      </c>
      <c r="P61" s="2" t="s">
        <v>101</v>
      </c>
    </row>
  </sheetData>
  <sortState xmlns:xlrd2="http://schemas.microsoft.com/office/spreadsheetml/2017/richdata2" ref="A2:P62">
    <sortCondition ref="C2:C6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E19D-F1DF-144E-B0FF-DACCAC20F944}">
  <dimension ref="A1:P61"/>
  <sheetViews>
    <sheetView workbookViewId="0">
      <selection activeCell="A12" sqref="A12:XFD12"/>
    </sheetView>
  </sheetViews>
  <sheetFormatPr baseColWidth="10" defaultRowHeight="16" x14ac:dyDescent="0.2"/>
  <sheetData>
    <row r="1" spans="1:16" x14ac:dyDescent="0.2">
      <c r="A1" s="2" t="s">
        <v>0</v>
      </c>
      <c r="B1" t="s">
        <v>72</v>
      </c>
      <c r="C1" t="s">
        <v>73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110</v>
      </c>
      <c r="P1" s="2" t="s">
        <v>100</v>
      </c>
    </row>
    <row r="2" spans="1:16" x14ac:dyDescent="0.2">
      <c r="A2" s="2" t="s">
        <v>15</v>
      </c>
      <c r="B2" t="s">
        <v>74</v>
      </c>
      <c r="C2" t="s">
        <v>75</v>
      </c>
      <c r="D2" s="2">
        <v>0.26343967000000001</v>
      </c>
      <c r="E2" s="2">
        <v>1.0356229999999999E-2</v>
      </c>
      <c r="F2" s="2">
        <v>5.7722399999999997E-3</v>
      </c>
      <c r="G2" s="2">
        <v>1.7941455799999999</v>
      </c>
      <c r="H2" s="2">
        <v>0.29759231000000003</v>
      </c>
      <c r="I2" s="2">
        <v>4.9998400000000002E-3</v>
      </c>
      <c r="J2" s="2">
        <v>59.520314399999997</v>
      </c>
      <c r="K2" s="2">
        <v>3.2189583499999999</v>
      </c>
      <c r="L2" s="2">
        <v>1</v>
      </c>
      <c r="M2" s="2">
        <v>9</v>
      </c>
      <c r="N2" s="2">
        <v>0.10637143</v>
      </c>
      <c r="O2" s="2" t="b">
        <f>N2&lt;0.01</f>
        <v>0</v>
      </c>
      <c r="P2" s="2" t="s">
        <v>76</v>
      </c>
    </row>
    <row r="3" spans="1:16" x14ac:dyDescent="0.2">
      <c r="A3" s="2" t="s">
        <v>37</v>
      </c>
      <c r="B3" t="s">
        <v>74</v>
      </c>
      <c r="C3" t="s">
        <v>75</v>
      </c>
      <c r="D3" s="2">
        <v>0.24845454</v>
      </c>
      <c r="E3" s="2">
        <v>8.0092900000000005E-3</v>
      </c>
      <c r="F3" s="2">
        <v>4.4050299999999999E-3</v>
      </c>
      <c r="G3" s="2">
        <v>1.8182175199999999</v>
      </c>
      <c r="H3" s="2">
        <v>0.30035853000000001</v>
      </c>
      <c r="I3" s="2">
        <v>3.7261899999999999E-3</v>
      </c>
      <c r="J3" s="2">
        <v>80.607368600000001</v>
      </c>
      <c r="K3" s="2">
        <v>3.30591496</v>
      </c>
      <c r="L3" s="2">
        <v>1</v>
      </c>
      <c r="M3" s="2">
        <v>10</v>
      </c>
      <c r="N3" s="2">
        <v>9.9064840000000001E-2</v>
      </c>
      <c r="O3" s="2" t="b">
        <f t="shared" ref="O3:O61" si="0">N3&lt;0.01</f>
        <v>0</v>
      </c>
      <c r="P3" s="2" t="s">
        <v>76</v>
      </c>
    </row>
    <row r="4" spans="1:16" x14ac:dyDescent="0.2">
      <c r="A4" s="2" t="s">
        <v>39</v>
      </c>
      <c r="B4" t="s">
        <v>74</v>
      </c>
      <c r="C4" t="s">
        <v>75</v>
      </c>
      <c r="D4" s="2">
        <v>0.35627640999999999</v>
      </c>
      <c r="E4" s="2">
        <v>9.4968399999999994E-3</v>
      </c>
      <c r="F4" s="2">
        <v>4.5132599999999998E-3</v>
      </c>
      <c r="G4" s="2">
        <v>2.1042087</v>
      </c>
      <c r="H4" s="2">
        <v>0.29905179999999998</v>
      </c>
      <c r="I4" s="2">
        <v>3.5026900000000001E-3</v>
      </c>
      <c r="J4" s="2">
        <v>85.377696299999997</v>
      </c>
      <c r="K4" s="2">
        <v>4.4276942500000001</v>
      </c>
      <c r="L4" s="2">
        <v>1</v>
      </c>
      <c r="M4" s="2">
        <v>8</v>
      </c>
      <c r="N4" s="2">
        <v>6.8487649999999997E-2</v>
      </c>
      <c r="O4" s="2" t="b">
        <f t="shared" si="0"/>
        <v>0</v>
      </c>
      <c r="P4" s="2" t="s">
        <v>76</v>
      </c>
    </row>
    <row r="5" spans="1:16" x14ac:dyDescent="0.2">
      <c r="A5" s="2" t="s">
        <v>45</v>
      </c>
      <c r="B5" t="s">
        <v>74</v>
      </c>
      <c r="C5" t="s">
        <v>75</v>
      </c>
      <c r="D5" s="2">
        <v>0.37801077</v>
      </c>
      <c r="E5" s="2">
        <v>1.3158019999999999E-2</v>
      </c>
      <c r="F5" s="2">
        <v>6.8905599999999996E-3</v>
      </c>
      <c r="G5" s="2">
        <v>1.9095730500000001</v>
      </c>
      <c r="H5" s="2">
        <v>0.2957109</v>
      </c>
      <c r="I5" s="2">
        <v>5.54054E-3</v>
      </c>
      <c r="J5" s="2">
        <v>53.372258100000003</v>
      </c>
      <c r="K5" s="2">
        <v>3.6464692300000001</v>
      </c>
      <c r="L5" s="2">
        <v>1</v>
      </c>
      <c r="M5" s="2">
        <v>6</v>
      </c>
      <c r="N5" s="2">
        <v>0.10476992</v>
      </c>
      <c r="O5" s="2" t="b">
        <f t="shared" si="0"/>
        <v>0</v>
      </c>
      <c r="P5" s="2" t="s">
        <v>76</v>
      </c>
    </row>
    <row r="6" spans="1:16" x14ac:dyDescent="0.2">
      <c r="A6" s="2" t="s">
        <v>46</v>
      </c>
      <c r="B6" t="s">
        <v>74</v>
      </c>
      <c r="C6" t="s">
        <v>75</v>
      </c>
      <c r="D6" s="2">
        <v>0.30115679000000001</v>
      </c>
      <c r="E6" s="2">
        <v>1.3036310000000001E-2</v>
      </c>
      <c r="F6" s="2">
        <v>7.0210699999999999E-3</v>
      </c>
      <c r="G6" s="2">
        <v>1.8567415</v>
      </c>
      <c r="H6" s="2">
        <v>0.29547440000000003</v>
      </c>
      <c r="I6" s="2">
        <v>5.8487799999999996E-3</v>
      </c>
      <c r="J6" s="2">
        <v>50.518998699999997</v>
      </c>
      <c r="K6" s="2">
        <v>3.4474889900000001</v>
      </c>
      <c r="L6" s="2">
        <v>1</v>
      </c>
      <c r="M6" s="2">
        <v>8</v>
      </c>
      <c r="N6" s="2">
        <v>0.10043191</v>
      </c>
      <c r="O6" s="2" t="b">
        <f t="shared" si="0"/>
        <v>0</v>
      </c>
      <c r="P6" s="2" t="s">
        <v>76</v>
      </c>
    </row>
    <row r="7" spans="1:16" x14ac:dyDescent="0.2">
      <c r="A7" s="2" t="s">
        <v>49</v>
      </c>
      <c r="B7" t="s">
        <v>74</v>
      </c>
      <c r="C7" t="s">
        <v>75</v>
      </c>
      <c r="D7" s="2">
        <v>0.27903593999999998</v>
      </c>
      <c r="E7" s="2">
        <v>1.0485039999999999E-2</v>
      </c>
      <c r="F7" s="2">
        <v>5.6179200000000002E-3</v>
      </c>
      <c r="G7" s="2">
        <v>1.86635613</v>
      </c>
      <c r="H7" s="2">
        <v>0.29847626999999999</v>
      </c>
      <c r="I7" s="2">
        <v>4.5009500000000001E-3</v>
      </c>
      <c r="J7" s="2">
        <v>66.313991200000004</v>
      </c>
      <c r="K7" s="2">
        <v>3.4832851900000001</v>
      </c>
      <c r="L7" s="2">
        <v>1</v>
      </c>
      <c r="M7" s="2">
        <v>9</v>
      </c>
      <c r="N7" s="2">
        <v>9.484795E-2</v>
      </c>
      <c r="O7" s="2" t="b">
        <f t="shared" si="0"/>
        <v>0</v>
      </c>
      <c r="P7" s="2" t="s">
        <v>76</v>
      </c>
    </row>
    <row r="8" spans="1:16" x14ac:dyDescent="0.2">
      <c r="A8" s="2" t="s">
        <v>58</v>
      </c>
      <c r="B8" t="s">
        <v>74</v>
      </c>
      <c r="C8" t="s">
        <v>75</v>
      </c>
      <c r="D8" s="2">
        <v>0.33160488999999999</v>
      </c>
      <c r="E8" s="2">
        <v>1.014867E-2</v>
      </c>
      <c r="F8" s="2">
        <v>4.8027900000000004E-3</v>
      </c>
      <c r="G8" s="2">
        <v>2.1130758699999999</v>
      </c>
      <c r="H8" s="2">
        <v>0.29797709</v>
      </c>
      <c r="I8" s="2">
        <v>4.1995299999999999E-3</v>
      </c>
      <c r="J8" s="2">
        <v>70.954943999999998</v>
      </c>
      <c r="K8" s="2">
        <v>4.4650896199999996</v>
      </c>
      <c r="L8" s="2">
        <v>1</v>
      </c>
      <c r="M8" s="2">
        <v>9</v>
      </c>
      <c r="N8" s="2">
        <v>6.3750559999999998E-2</v>
      </c>
      <c r="O8" s="2" t="b">
        <f t="shared" si="0"/>
        <v>0</v>
      </c>
      <c r="P8" s="2" t="s">
        <v>76</v>
      </c>
    </row>
    <row r="9" spans="1:16" x14ac:dyDescent="0.2">
      <c r="A9" s="2" t="s">
        <v>62</v>
      </c>
      <c r="B9" t="s">
        <v>74</v>
      </c>
      <c r="C9" t="s">
        <v>75</v>
      </c>
      <c r="D9" s="2">
        <v>0.24184610000000001</v>
      </c>
      <c r="E9" s="2">
        <v>7.2041700000000002E-3</v>
      </c>
      <c r="F9" s="2">
        <v>4.03361E-3</v>
      </c>
      <c r="G9" s="2">
        <v>1.7860386500000001</v>
      </c>
      <c r="H9" s="2">
        <v>0.30053903999999998</v>
      </c>
      <c r="I9" s="2">
        <v>3.3524499999999999E-3</v>
      </c>
      <c r="J9" s="2">
        <v>89.647597700000006</v>
      </c>
      <c r="K9" s="2">
        <v>3.1899340700000001</v>
      </c>
      <c r="L9" s="2">
        <v>1</v>
      </c>
      <c r="M9" s="2">
        <v>10</v>
      </c>
      <c r="N9" s="2">
        <v>0.10439743999999999</v>
      </c>
      <c r="O9" s="2" t="b">
        <f t="shared" si="0"/>
        <v>0</v>
      </c>
      <c r="P9" s="2" t="s">
        <v>76</v>
      </c>
    </row>
    <row r="10" spans="1:16" x14ac:dyDescent="0.2">
      <c r="A10" s="2" t="s">
        <v>65</v>
      </c>
      <c r="B10" t="s">
        <v>74</v>
      </c>
      <c r="C10" t="s">
        <v>75</v>
      </c>
      <c r="D10" s="2">
        <v>0.40299847999999999</v>
      </c>
      <c r="E10" s="2">
        <v>1.0830940000000001E-2</v>
      </c>
      <c r="F10" s="2">
        <v>4.39421E-3</v>
      </c>
      <c r="G10" s="2">
        <v>2.4648201599999999</v>
      </c>
      <c r="H10" s="2">
        <v>0.29891564999999998</v>
      </c>
      <c r="I10" s="2">
        <v>3.5224599999999998E-3</v>
      </c>
      <c r="J10" s="2">
        <v>84.859959099999998</v>
      </c>
      <c r="K10" s="2">
        <v>6.0753383999999997</v>
      </c>
      <c r="L10" s="2">
        <v>1</v>
      </c>
      <c r="M10" s="2">
        <v>9</v>
      </c>
      <c r="N10" s="2">
        <v>3.5873839999999997E-2</v>
      </c>
      <c r="O10" s="2" t="b">
        <f t="shared" si="0"/>
        <v>0</v>
      </c>
      <c r="P10" s="2" t="s">
        <v>76</v>
      </c>
    </row>
    <row r="11" spans="1:16" x14ac:dyDescent="0.2">
      <c r="A11" s="2" t="s">
        <v>66</v>
      </c>
      <c r="B11" t="s">
        <v>74</v>
      </c>
      <c r="C11" t="s">
        <v>75</v>
      </c>
      <c r="D11" s="2">
        <v>0.39986413999999998</v>
      </c>
      <c r="E11" s="2">
        <v>1.6615910000000001E-2</v>
      </c>
      <c r="F11" s="2">
        <v>6.43714E-3</v>
      </c>
      <c r="G11" s="2">
        <v>2.5812581699999999</v>
      </c>
      <c r="H11" s="2">
        <v>0.29320286000000001</v>
      </c>
      <c r="I11" s="2">
        <v>5.7745699999999997E-3</v>
      </c>
      <c r="J11" s="2">
        <v>50.774830700000003</v>
      </c>
      <c r="K11" s="2">
        <v>6.6628937199999996</v>
      </c>
      <c r="L11" s="2">
        <v>1</v>
      </c>
      <c r="M11" s="2">
        <v>10</v>
      </c>
      <c r="N11" s="2">
        <v>2.735719E-2</v>
      </c>
      <c r="O11" s="2" t="b">
        <f t="shared" si="0"/>
        <v>0</v>
      </c>
      <c r="P11" s="2" t="s">
        <v>76</v>
      </c>
    </row>
    <row r="12" spans="1:16" s="7" customFormat="1" x14ac:dyDescent="0.2">
      <c r="A12" s="8" t="s">
        <v>12</v>
      </c>
      <c r="B12" s="7" t="s">
        <v>76</v>
      </c>
      <c r="C12" s="7" t="s">
        <v>77</v>
      </c>
      <c r="D12" s="8">
        <v>0.41450061999999999</v>
      </c>
      <c r="E12" s="8">
        <v>6.3876899999999997E-3</v>
      </c>
      <c r="F12" s="8">
        <v>2.02899E-3</v>
      </c>
      <c r="G12" s="8">
        <v>3.1482077999999998</v>
      </c>
      <c r="H12" s="8">
        <v>0.29984621</v>
      </c>
      <c r="I12" s="8">
        <v>1.8499499999999999E-3</v>
      </c>
      <c r="J12" s="8">
        <v>162.08376000000001</v>
      </c>
      <c r="K12" s="8">
        <v>9.9112123699999994</v>
      </c>
      <c r="L12" s="8">
        <v>1</v>
      </c>
      <c r="M12" s="8">
        <v>14</v>
      </c>
      <c r="N12" s="8">
        <v>7.1169500000000004E-3</v>
      </c>
      <c r="O12" s="8" t="b">
        <f t="shared" si="0"/>
        <v>1</v>
      </c>
      <c r="P12" s="8" t="s">
        <v>76</v>
      </c>
    </row>
    <row r="13" spans="1:16" x14ac:dyDescent="0.2">
      <c r="A13" s="2" t="s">
        <v>16</v>
      </c>
      <c r="B13" t="s">
        <v>76</v>
      </c>
      <c r="C13" t="s">
        <v>77</v>
      </c>
      <c r="D13" s="2">
        <v>9.5518339999999993E-2</v>
      </c>
      <c r="E13" s="2">
        <v>3.9450700000000002E-3</v>
      </c>
      <c r="F13" s="2">
        <v>4.0466E-3</v>
      </c>
      <c r="G13" s="2">
        <v>0.97491053999999999</v>
      </c>
      <c r="H13" s="2">
        <v>0.30267884</v>
      </c>
      <c r="I13" s="2">
        <v>3.5703599999999999E-3</v>
      </c>
      <c r="J13" s="2">
        <v>84.775377500000005</v>
      </c>
      <c r="K13" s="2">
        <v>0.95045055000000001</v>
      </c>
      <c r="L13" s="2">
        <v>1</v>
      </c>
      <c r="M13" s="2">
        <v>9</v>
      </c>
      <c r="N13" s="2">
        <v>0.35507839000000002</v>
      </c>
      <c r="O13" s="2" t="b">
        <f t="shared" si="0"/>
        <v>0</v>
      </c>
      <c r="P13" s="2" t="s">
        <v>76</v>
      </c>
    </row>
    <row r="14" spans="1:16" x14ac:dyDescent="0.2">
      <c r="A14" s="2" t="s">
        <v>29</v>
      </c>
      <c r="B14" t="s">
        <v>76</v>
      </c>
      <c r="C14" t="s">
        <v>77</v>
      </c>
      <c r="D14" s="2">
        <v>0.14694689999999999</v>
      </c>
      <c r="E14" s="2">
        <v>3.9410199999999999E-3</v>
      </c>
      <c r="F14" s="2">
        <v>2.53777E-3</v>
      </c>
      <c r="G14" s="2">
        <v>1.5529454300000001</v>
      </c>
      <c r="H14" s="2">
        <v>0.30196117</v>
      </c>
      <c r="I14" s="2">
        <v>2.3528400000000001E-3</v>
      </c>
      <c r="J14" s="2">
        <v>128.33922699999999</v>
      </c>
      <c r="K14" s="2">
        <v>2.4116395100000001</v>
      </c>
      <c r="L14" s="2">
        <v>1</v>
      </c>
      <c r="M14" s="2">
        <v>14</v>
      </c>
      <c r="N14" s="2">
        <v>0.14274476</v>
      </c>
      <c r="O14" s="2" t="b">
        <f t="shared" si="0"/>
        <v>0</v>
      </c>
      <c r="P14" s="2" t="s">
        <v>76</v>
      </c>
    </row>
    <row r="15" spans="1:16" x14ac:dyDescent="0.2">
      <c r="A15" s="2" t="s">
        <v>34</v>
      </c>
      <c r="B15" t="s">
        <v>76</v>
      </c>
      <c r="C15" t="s">
        <v>77</v>
      </c>
      <c r="D15" s="2">
        <v>0.41661130000000002</v>
      </c>
      <c r="E15" s="2">
        <v>1.4552290000000001E-2</v>
      </c>
      <c r="F15" s="2">
        <v>6.50872E-3</v>
      </c>
      <c r="G15" s="2">
        <v>2.2358132999999998</v>
      </c>
      <c r="H15" s="2">
        <v>0.29477125999999998</v>
      </c>
      <c r="I15" s="2">
        <v>5.3060700000000004E-3</v>
      </c>
      <c r="J15" s="2">
        <v>55.553642500000002</v>
      </c>
      <c r="K15" s="2">
        <v>4.9988611299999999</v>
      </c>
      <c r="L15" s="2">
        <v>1</v>
      </c>
      <c r="M15" s="2">
        <v>7</v>
      </c>
      <c r="N15" s="2">
        <v>6.0450129999999998E-2</v>
      </c>
      <c r="O15" s="2" t="b">
        <f t="shared" si="0"/>
        <v>0</v>
      </c>
      <c r="P15" s="2" t="s">
        <v>76</v>
      </c>
    </row>
    <row r="16" spans="1:16" x14ac:dyDescent="0.2">
      <c r="A16" s="2" t="s">
        <v>42</v>
      </c>
      <c r="B16" t="s">
        <v>76</v>
      </c>
      <c r="C16" t="s">
        <v>77</v>
      </c>
      <c r="D16" s="2">
        <v>0.44833005999999997</v>
      </c>
      <c r="E16" s="2">
        <v>1.0968459999999999E-2</v>
      </c>
      <c r="F16" s="2">
        <v>3.8475699999999998E-3</v>
      </c>
      <c r="G16" s="2">
        <v>2.8507508800000001</v>
      </c>
      <c r="H16" s="2">
        <v>0.29796825999999998</v>
      </c>
      <c r="I16" s="2">
        <v>3.2001E-3</v>
      </c>
      <c r="J16" s="2">
        <v>93.112235799999993</v>
      </c>
      <c r="K16" s="2">
        <v>8.1267805800000001</v>
      </c>
      <c r="L16" s="2">
        <v>1</v>
      </c>
      <c r="M16" s="2">
        <v>10</v>
      </c>
      <c r="N16" s="2">
        <v>1.7227900000000001E-2</v>
      </c>
      <c r="O16" s="2" t="b">
        <f t="shared" si="0"/>
        <v>0</v>
      </c>
      <c r="P16" s="2" t="s">
        <v>76</v>
      </c>
    </row>
    <row r="17" spans="1:16" x14ac:dyDescent="0.2">
      <c r="A17" s="2" t="s">
        <v>52</v>
      </c>
      <c r="B17" t="s">
        <v>76</v>
      </c>
      <c r="C17" t="s">
        <v>77</v>
      </c>
      <c r="D17" s="2">
        <v>0.16834658999999999</v>
      </c>
      <c r="E17" s="2">
        <v>3.4015999999999998E-3</v>
      </c>
      <c r="F17" s="2">
        <v>2.09691E-3</v>
      </c>
      <c r="G17" s="2">
        <v>1.6221935000000001</v>
      </c>
      <c r="H17" s="2">
        <v>0.30231595</v>
      </c>
      <c r="I17" s="2">
        <v>1.9275900000000001E-3</v>
      </c>
      <c r="J17" s="2">
        <v>156.83628200000001</v>
      </c>
      <c r="K17" s="2">
        <v>2.6315117400000001</v>
      </c>
      <c r="L17" s="2">
        <v>1</v>
      </c>
      <c r="M17" s="2">
        <v>13</v>
      </c>
      <c r="N17" s="2">
        <v>0.12875171999999999</v>
      </c>
      <c r="O17" s="2" t="b">
        <f t="shared" si="0"/>
        <v>0</v>
      </c>
      <c r="P17" s="2" t="s">
        <v>76</v>
      </c>
    </row>
    <row r="18" spans="1:16" x14ac:dyDescent="0.2">
      <c r="A18" s="2" t="s">
        <v>54</v>
      </c>
      <c r="B18" t="s">
        <v>76</v>
      </c>
      <c r="C18" t="s">
        <v>77</v>
      </c>
      <c r="D18" s="2">
        <v>0.49858637</v>
      </c>
      <c r="E18" s="2">
        <v>9.85078E-3</v>
      </c>
      <c r="F18" s="2">
        <v>3.49264E-3</v>
      </c>
      <c r="G18" s="2">
        <v>2.82044169</v>
      </c>
      <c r="H18" s="2">
        <v>0.29792150000000001</v>
      </c>
      <c r="I18" s="2">
        <v>2.9324400000000001E-3</v>
      </c>
      <c r="J18" s="2">
        <v>101.59495</v>
      </c>
      <c r="K18" s="2">
        <v>7.9548913099999998</v>
      </c>
      <c r="L18" s="2">
        <v>1</v>
      </c>
      <c r="M18" s="2">
        <v>8</v>
      </c>
      <c r="N18" s="2">
        <v>2.247859E-2</v>
      </c>
      <c r="O18" s="2" t="b">
        <f t="shared" si="0"/>
        <v>0</v>
      </c>
      <c r="P18" s="2" t="s">
        <v>76</v>
      </c>
    </row>
    <row r="19" spans="1:16" x14ac:dyDescent="0.2">
      <c r="A19" s="2" t="s">
        <v>59</v>
      </c>
      <c r="B19" t="s">
        <v>76</v>
      </c>
      <c r="C19" t="s">
        <v>77</v>
      </c>
      <c r="D19" s="2">
        <v>0.19787938999999999</v>
      </c>
      <c r="E19" s="2">
        <v>8.2688899999999992E-3</v>
      </c>
      <c r="F19" s="2">
        <v>6.29242E-3</v>
      </c>
      <c r="G19" s="2">
        <v>1.31410318</v>
      </c>
      <c r="H19" s="2">
        <v>0.29882782000000002</v>
      </c>
      <c r="I19" s="2">
        <v>5.1375800000000001E-3</v>
      </c>
      <c r="J19" s="2">
        <v>58.165140299999997</v>
      </c>
      <c r="K19" s="2">
        <v>1.72686717</v>
      </c>
      <c r="L19" s="2">
        <v>1</v>
      </c>
      <c r="M19" s="2">
        <v>7</v>
      </c>
      <c r="N19" s="2">
        <v>0.23023423000000001</v>
      </c>
      <c r="O19" s="2" t="b">
        <f t="shared" si="0"/>
        <v>0</v>
      </c>
      <c r="P19" s="2" t="s">
        <v>76</v>
      </c>
    </row>
    <row r="20" spans="1:16" x14ac:dyDescent="0.2">
      <c r="A20" s="2" t="s">
        <v>61</v>
      </c>
      <c r="B20" t="s">
        <v>76</v>
      </c>
      <c r="C20" t="s">
        <v>77</v>
      </c>
      <c r="D20" s="2">
        <v>2.2769950000000001E-2</v>
      </c>
      <c r="E20" s="2">
        <v>2.29503E-3</v>
      </c>
      <c r="F20" s="2">
        <v>5.0116900000000001E-3</v>
      </c>
      <c r="G20" s="2">
        <v>0.45793507</v>
      </c>
      <c r="H20" s="2">
        <v>0.30348278000000001</v>
      </c>
      <c r="I20" s="2">
        <v>4.5874499999999999E-3</v>
      </c>
      <c r="J20" s="2">
        <v>66.154936399999997</v>
      </c>
      <c r="K20" s="2">
        <v>0.20970453</v>
      </c>
      <c r="L20" s="2">
        <v>1</v>
      </c>
      <c r="M20" s="2">
        <v>9</v>
      </c>
      <c r="N20" s="2">
        <v>0.65785453000000005</v>
      </c>
      <c r="O20" s="2" t="b">
        <f t="shared" si="0"/>
        <v>0</v>
      </c>
      <c r="P20" s="2" t="s">
        <v>76</v>
      </c>
    </row>
    <row r="21" spans="1:16" x14ac:dyDescent="0.2">
      <c r="A21" s="2" t="s">
        <v>63</v>
      </c>
      <c r="B21" t="s">
        <v>76</v>
      </c>
      <c r="C21" t="s">
        <v>77</v>
      </c>
      <c r="D21" s="2">
        <v>0.28983626000000001</v>
      </c>
      <c r="E21" s="2">
        <v>4.8257100000000004E-3</v>
      </c>
      <c r="F21" s="2">
        <v>2.0188300000000001E-3</v>
      </c>
      <c r="G21" s="2">
        <v>2.3903479700000001</v>
      </c>
      <c r="H21" s="2">
        <v>0.30095776000000002</v>
      </c>
      <c r="I21" s="2">
        <v>1.8420299999999999E-3</v>
      </c>
      <c r="J21" s="2">
        <v>163.38382799999999</v>
      </c>
      <c r="K21" s="2">
        <v>5.7137634200000003</v>
      </c>
      <c r="L21" s="2">
        <v>1</v>
      </c>
      <c r="M21" s="2">
        <v>14</v>
      </c>
      <c r="N21" s="2">
        <v>3.144462E-2</v>
      </c>
      <c r="O21" s="2" t="b">
        <f t="shared" si="0"/>
        <v>0</v>
      </c>
      <c r="P21" s="2" t="s">
        <v>76</v>
      </c>
    </row>
    <row r="22" spans="1:16" x14ac:dyDescent="0.2">
      <c r="A22" s="2" t="s">
        <v>67</v>
      </c>
      <c r="B22" t="s">
        <v>76</v>
      </c>
      <c r="C22" t="s">
        <v>77</v>
      </c>
      <c r="D22" s="2">
        <v>0.11922655</v>
      </c>
      <c r="E22" s="2">
        <v>3.2835899999999999E-3</v>
      </c>
      <c r="F22" s="2">
        <v>2.5763499999999998E-3</v>
      </c>
      <c r="G22" s="2">
        <v>1.27451516</v>
      </c>
      <c r="H22" s="2">
        <v>0.30207039000000002</v>
      </c>
      <c r="I22" s="2">
        <v>2.3682E-3</v>
      </c>
      <c r="J22" s="2">
        <v>127.55270299999999</v>
      </c>
      <c r="K22" s="2">
        <v>1.6243888900000001</v>
      </c>
      <c r="L22" s="2">
        <v>1</v>
      </c>
      <c r="M22" s="2">
        <v>12</v>
      </c>
      <c r="N22" s="2">
        <v>0.22660841000000001</v>
      </c>
      <c r="O22" s="2" t="b">
        <f t="shared" si="0"/>
        <v>0</v>
      </c>
      <c r="P22" s="2" t="s">
        <v>76</v>
      </c>
    </row>
    <row r="23" spans="1:16" x14ac:dyDescent="0.2">
      <c r="A23" s="2" t="s">
        <v>17</v>
      </c>
      <c r="B23" t="s">
        <v>78</v>
      </c>
      <c r="C23" t="s">
        <v>79</v>
      </c>
      <c r="D23" s="2">
        <v>0.38410267999999997</v>
      </c>
      <c r="E23" s="2">
        <v>1.0272359999999999E-2</v>
      </c>
      <c r="F23" s="2">
        <v>3.6076900000000002E-3</v>
      </c>
      <c r="G23" s="2">
        <v>2.8473521800000001</v>
      </c>
      <c r="H23" s="2">
        <v>0.29821407</v>
      </c>
      <c r="I23" s="2">
        <v>3.2343799999999998E-3</v>
      </c>
      <c r="J23" s="2">
        <v>92.201227599999996</v>
      </c>
      <c r="K23" s="2">
        <v>8.1074144300000004</v>
      </c>
      <c r="L23" s="2">
        <v>1</v>
      </c>
      <c r="M23" s="2">
        <v>13</v>
      </c>
      <c r="N23" s="2">
        <v>1.3726459999999999E-2</v>
      </c>
      <c r="O23" s="2" t="b">
        <f t="shared" si="0"/>
        <v>0</v>
      </c>
      <c r="P23" s="2" t="s">
        <v>76</v>
      </c>
    </row>
    <row r="24" spans="1:16" x14ac:dyDescent="0.2">
      <c r="A24" s="2" t="s">
        <v>21</v>
      </c>
      <c r="B24" t="s">
        <v>78</v>
      </c>
      <c r="C24" t="s">
        <v>79</v>
      </c>
      <c r="D24" s="2">
        <v>0.26430136999999998</v>
      </c>
      <c r="E24" s="2">
        <v>1.1666060000000001E-2</v>
      </c>
      <c r="F24" s="2">
        <v>5.3982500000000003E-3</v>
      </c>
      <c r="G24" s="2">
        <v>2.1610828400000002</v>
      </c>
      <c r="H24" s="2">
        <v>0.29686578000000002</v>
      </c>
      <c r="I24" s="2">
        <v>4.84521E-3</v>
      </c>
      <c r="J24" s="2">
        <v>61.2699918</v>
      </c>
      <c r="K24" s="2">
        <v>4.6702790500000004</v>
      </c>
      <c r="L24" s="2">
        <v>1</v>
      </c>
      <c r="M24" s="2">
        <v>13</v>
      </c>
      <c r="N24" s="2">
        <v>4.993475E-2</v>
      </c>
      <c r="O24" s="2" t="b">
        <f t="shared" si="0"/>
        <v>0</v>
      </c>
      <c r="P24" s="2" t="s">
        <v>76</v>
      </c>
    </row>
    <row r="25" spans="1:16" x14ac:dyDescent="0.2">
      <c r="A25" s="2" t="s">
        <v>23</v>
      </c>
      <c r="B25" t="s">
        <v>78</v>
      </c>
      <c r="C25" t="s">
        <v>79</v>
      </c>
      <c r="D25" s="2">
        <v>0.39318916999999998</v>
      </c>
      <c r="E25" s="2">
        <v>1.5681919999999998E-2</v>
      </c>
      <c r="F25" s="2">
        <v>5.4032300000000002E-3</v>
      </c>
      <c r="G25" s="2">
        <v>2.90232329</v>
      </c>
      <c r="H25" s="2">
        <v>0.29450477000000003</v>
      </c>
      <c r="I25" s="2">
        <v>4.8568500000000002E-3</v>
      </c>
      <c r="J25" s="2">
        <v>60.636951099999997</v>
      </c>
      <c r="K25" s="2">
        <v>8.4234804600000004</v>
      </c>
      <c r="L25" s="2">
        <v>1</v>
      </c>
      <c r="M25" s="2">
        <v>13</v>
      </c>
      <c r="N25" s="2">
        <v>1.2352709999999999E-2</v>
      </c>
      <c r="O25" s="2" t="b">
        <f t="shared" si="0"/>
        <v>0</v>
      </c>
      <c r="P25" s="2" t="s">
        <v>76</v>
      </c>
    </row>
    <row r="26" spans="1:16" s="7" customFormat="1" x14ac:dyDescent="0.2">
      <c r="A26" s="8" t="s">
        <v>27</v>
      </c>
      <c r="B26" s="7" t="s">
        <v>78</v>
      </c>
      <c r="C26" s="7" t="s">
        <v>79</v>
      </c>
      <c r="D26" s="8">
        <v>0.40980283000000001</v>
      </c>
      <c r="E26" s="8">
        <v>1.8655209999999998E-2</v>
      </c>
      <c r="F26" s="8">
        <v>5.7805E-3</v>
      </c>
      <c r="G26" s="8">
        <v>3.2272643799999998</v>
      </c>
      <c r="H26" s="8">
        <v>0.29188662999999998</v>
      </c>
      <c r="I26" s="8">
        <v>5.3810100000000003E-3</v>
      </c>
      <c r="J26" s="8">
        <v>54.243850799999997</v>
      </c>
      <c r="K26" s="8">
        <v>10.415235300000001</v>
      </c>
      <c r="L26" s="8">
        <v>1</v>
      </c>
      <c r="M26" s="8">
        <v>15</v>
      </c>
      <c r="N26" s="8">
        <v>5.6399900000000001E-3</v>
      </c>
      <c r="O26" s="8" t="b">
        <f t="shared" si="0"/>
        <v>1</v>
      </c>
      <c r="P26" s="8" t="s">
        <v>76</v>
      </c>
    </row>
    <row r="27" spans="1:16" x14ac:dyDescent="0.2">
      <c r="A27" s="2" t="s">
        <v>33</v>
      </c>
      <c r="B27" t="s">
        <v>78</v>
      </c>
      <c r="C27" t="s">
        <v>79</v>
      </c>
      <c r="D27" s="2">
        <v>0.38242778999999999</v>
      </c>
      <c r="E27" s="2">
        <v>1.5596789999999999E-2</v>
      </c>
      <c r="F27" s="2">
        <v>5.4970899999999996E-3</v>
      </c>
      <c r="G27" s="2">
        <v>2.83728216</v>
      </c>
      <c r="H27" s="2">
        <v>0.29431813000000001</v>
      </c>
      <c r="I27" s="2">
        <v>4.8952700000000002E-3</v>
      </c>
      <c r="J27" s="2">
        <v>60.122952699999999</v>
      </c>
      <c r="K27" s="2">
        <v>8.0501700500000002</v>
      </c>
      <c r="L27" s="2">
        <v>1</v>
      </c>
      <c r="M27" s="2">
        <v>13</v>
      </c>
      <c r="N27" s="2">
        <v>1.399396E-2</v>
      </c>
      <c r="O27" s="2" t="b">
        <f t="shared" si="0"/>
        <v>0</v>
      </c>
      <c r="P27" s="2" t="s">
        <v>76</v>
      </c>
    </row>
    <row r="28" spans="1:16" x14ac:dyDescent="0.2">
      <c r="A28" s="2" t="s">
        <v>40</v>
      </c>
      <c r="B28" t="s">
        <v>78</v>
      </c>
      <c r="C28" t="s">
        <v>79</v>
      </c>
      <c r="D28" s="2">
        <v>0.34722754</v>
      </c>
      <c r="E28" s="2">
        <v>1.448722E-2</v>
      </c>
      <c r="F28" s="2">
        <v>5.5091799999999998E-3</v>
      </c>
      <c r="G28" s="2">
        <v>2.6296493700000001</v>
      </c>
      <c r="H28" s="2">
        <v>0.29469047999999998</v>
      </c>
      <c r="I28" s="2">
        <v>4.9572100000000001E-3</v>
      </c>
      <c r="J28" s="2">
        <v>59.446804100000001</v>
      </c>
      <c r="K28" s="2">
        <v>6.91505583</v>
      </c>
      <c r="L28" s="2">
        <v>1</v>
      </c>
      <c r="M28" s="2">
        <v>13</v>
      </c>
      <c r="N28" s="2">
        <v>2.0801259999999999E-2</v>
      </c>
      <c r="O28" s="2" t="b">
        <f t="shared" si="0"/>
        <v>0</v>
      </c>
      <c r="P28" s="2" t="s">
        <v>76</v>
      </c>
    </row>
    <row r="29" spans="1:16" x14ac:dyDescent="0.2">
      <c r="A29" s="2" t="s">
        <v>41</v>
      </c>
      <c r="B29" t="s">
        <v>78</v>
      </c>
      <c r="C29" t="s">
        <v>79</v>
      </c>
      <c r="D29" s="2">
        <v>0.34881485000000001</v>
      </c>
      <c r="E29" s="2">
        <v>1.3858219999999999E-2</v>
      </c>
      <c r="F29" s="2">
        <v>5.2515900000000004E-3</v>
      </c>
      <c r="G29" s="2">
        <v>2.6388634299999998</v>
      </c>
      <c r="H29" s="2">
        <v>0.29565261999999998</v>
      </c>
      <c r="I29" s="2">
        <v>4.6629000000000002E-3</v>
      </c>
      <c r="J29" s="2">
        <v>63.405319599999999</v>
      </c>
      <c r="K29" s="2">
        <v>6.9636002100000001</v>
      </c>
      <c r="L29" s="2">
        <v>1</v>
      </c>
      <c r="M29" s="2">
        <v>13</v>
      </c>
      <c r="N29" s="2">
        <v>2.0440110000000001E-2</v>
      </c>
      <c r="O29" s="2" t="b">
        <f t="shared" si="0"/>
        <v>0</v>
      </c>
      <c r="P29" s="2" t="s">
        <v>76</v>
      </c>
    </row>
    <row r="30" spans="1:16" s="7" customFormat="1" x14ac:dyDescent="0.2">
      <c r="A30" s="8" t="s">
        <v>50</v>
      </c>
      <c r="B30" s="7" t="s">
        <v>78</v>
      </c>
      <c r="C30" s="7" t="s">
        <v>79</v>
      </c>
      <c r="D30" s="8">
        <v>0.51069233999999997</v>
      </c>
      <c r="E30" s="8">
        <v>1.5889070000000002E-2</v>
      </c>
      <c r="F30" s="8">
        <v>4.1566700000000003E-3</v>
      </c>
      <c r="G30" s="8">
        <v>3.8225456900000001</v>
      </c>
      <c r="H30" s="8">
        <v>0.29427145999999998</v>
      </c>
      <c r="I30" s="8">
        <v>3.7659199999999999E-3</v>
      </c>
      <c r="J30" s="8">
        <v>78.140670700000001</v>
      </c>
      <c r="K30" s="8">
        <v>14.6118556</v>
      </c>
      <c r="L30" s="8">
        <v>1</v>
      </c>
      <c r="M30" s="8">
        <v>14</v>
      </c>
      <c r="N30" s="8">
        <v>1.8659E-3</v>
      </c>
      <c r="O30" s="8" t="b">
        <f t="shared" si="0"/>
        <v>1</v>
      </c>
      <c r="P30" s="8" t="s">
        <v>76</v>
      </c>
    </row>
    <row r="31" spans="1:16" x14ac:dyDescent="0.2">
      <c r="A31" s="2" t="s">
        <v>56</v>
      </c>
      <c r="B31" t="s">
        <v>78</v>
      </c>
      <c r="C31" t="s">
        <v>79</v>
      </c>
      <c r="D31" s="2">
        <v>0.39046802000000003</v>
      </c>
      <c r="E31" s="2">
        <v>2.3898220000000001E-2</v>
      </c>
      <c r="F31" s="2">
        <v>8.28132E-3</v>
      </c>
      <c r="G31" s="2">
        <v>2.8857995600000002</v>
      </c>
      <c r="H31" s="2">
        <v>0.28670659999999998</v>
      </c>
      <c r="I31" s="2">
        <v>7.9828699999999995E-3</v>
      </c>
      <c r="J31" s="2">
        <v>35.915237099999999</v>
      </c>
      <c r="K31" s="2">
        <v>8.3278391099999993</v>
      </c>
      <c r="L31" s="2">
        <v>1</v>
      </c>
      <c r="M31" s="2">
        <v>13</v>
      </c>
      <c r="N31" s="2">
        <v>1.275072E-2</v>
      </c>
      <c r="O31" s="2" t="b">
        <f t="shared" si="0"/>
        <v>0</v>
      </c>
      <c r="P31" s="2" t="s">
        <v>76</v>
      </c>
    </row>
    <row r="32" spans="1:16" x14ac:dyDescent="0.2">
      <c r="A32" s="2" t="s">
        <v>64</v>
      </c>
      <c r="B32" t="s">
        <v>78</v>
      </c>
      <c r="C32" t="s">
        <v>79</v>
      </c>
      <c r="D32" s="2">
        <v>0.37321578999999999</v>
      </c>
      <c r="E32" s="2">
        <v>1.5145860000000001E-2</v>
      </c>
      <c r="F32" s="2">
        <v>5.4437899999999996E-3</v>
      </c>
      <c r="G32" s="2">
        <v>2.78222763</v>
      </c>
      <c r="H32" s="2">
        <v>0.29470887000000001</v>
      </c>
      <c r="I32" s="2">
        <v>4.8882200000000004E-3</v>
      </c>
      <c r="J32" s="2">
        <v>60.289560299999998</v>
      </c>
      <c r="K32" s="2">
        <v>7.7407905899999996</v>
      </c>
      <c r="L32" s="2">
        <v>1</v>
      </c>
      <c r="M32" s="2">
        <v>13</v>
      </c>
      <c r="N32" s="2">
        <v>1.554964E-2</v>
      </c>
      <c r="O32" s="2" t="b">
        <f t="shared" si="0"/>
        <v>0</v>
      </c>
      <c r="P32" s="2" t="s">
        <v>76</v>
      </c>
    </row>
    <row r="33" spans="1:16" x14ac:dyDescent="0.2">
      <c r="A33" s="2" t="s">
        <v>13</v>
      </c>
      <c r="B33" t="s">
        <v>78</v>
      </c>
      <c r="C33" t="s">
        <v>80</v>
      </c>
      <c r="D33" s="2">
        <v>0.24086785999999999</v>
      </c>
      <c r="E33" s="2">
        <v>1.476587E-2</v>
      </c>
      <c r="F33" s="2">
        <v>7.27037E-3</v>
      </c>
      <c r="G33" s="2">
        <v>2.03096488</v>
      </c>
      <c r="H33" s="2">
        <v>0.29488383000000001</v>
      </c>
      <c r="I33" s="2">
        <v>6.6007899999999996E-3</v>
      </c>
      <c r="J33" s="2">
        <v>44.673991700000002</v>
      </c>
      <c r="K33" s="2">
        <v>4.1248183599999999</v>
      </c>
      <c r="L33" s="2">
        <v>1</v>
      </c>
      <c r="M33" s="2">
        <v>13</v>
      </c>
      <c r="N33" s="2">
        <v>6.3227340000000007E-2</v>
      </c>
      <c r="O33" s="2" t="b">
        <f t="shared" si="0"/>
        <v>0</v>
      </c>
      <c r="P33" s="2" t="s">
        <v>76</v>
      </c>
    </row>
    <row r="34" spans="1:16" x14ac:dyDescent="0.2">
      <c r="A34" s="2" t="s">
        <v>20</v>
      </c>
      <c r="B34" t="s">
        <v>78</v>
      </c>
      <c r="C34" t="s">
        <v>80</v>
      </c>
      <c r="D34" s="2">
        <v>0.33163164000000001</v>
      </c>
      <c r="E34" s="2">
        <v>1.559076E-2</v>
      </c>
      <c r="F34" s="2">
        <v>5.9153900000000004E-3</v>
      </c>
      <c r="G34" s="2">
        <v>2.63562764</v>
      </c>
      <c r="H34" s="2">
        <v>0.29403051000000002</v>
      </c>
      <c r="I34" s="2">
        <v>5.3843199999999997E-3</v>
      </c>
      <c r="J34" s="2">
        <v>54.608671999999999</v>
      </c>
      <c r="K34" s="2">
        <v>6.9465330700000001</v>
      </c>
      <c r="L34" s="2">
        <v>1</v>
      </c>
      <c r="M34" s="2">
        <v>14</v>
      </c>
      <c r="N34" s="2">
        <v>1.957045E-2</v>
      </c>
      <c r="O34" s="2" t="b">
        <f t="shared" si="0"/>
        <v>0</v>
      </c>
      <c r="P34" s="2" t="s">
        <v>76</v>
      </c>
    </row>
    <row r="35" spans="1:16" x14ac:dyDescent="0.2">
      <c r="A35" s="2" t="s">
        <v>26</v>
      </c>
      <c r="B35" t="s">
        <v>78</v>
      </c>
      <c r="C35" t="s">
        <v>80</v>
      </c>
      <c r="D35" s="2">
        <v>0.32206047999999998</v>
      </c>
      <c r="E35" s="2">
        <v>1.7099639999999999E-2</v>
      </c>
      <c r="F35" s="2">
        <v>6.6305499999999998E-3</v>
      </c>
      <c r="G35" s="2">
        <v>2.5789163500000001</v>
      </c>
      <c r="H35" s="2">
        <v>0.29377353</v>
      </c>
      <c r="I35" s="2">
        <v>6.1189299999999999E-3</v>
      </c>
      <c r="J35" s="2">
        <v>48.010589199999998</v>
      </c>
      <c r="K35" s="2">
        <v>6.65080955</v>
      </c>
      <c r="L35" s="2">
        <v>1</v>
      </c>
      <c r="M35" s="2">
        <v>14</v>
      </c>
      <c r="N35" s="2">
        <v>2.1855369999999999E-2</v>
      </c>
      <c r="O35" s="2" t="b">
        <f t="shared" si="0"/>
        <v>0</v>
      </c>
      <c r="P35" s="2" t="s">
        <v>76</v>
      </c>
    </row>
    <row r="36" spans="1:16" x14ac:dyDescent="0.2">
      <c r="A36" s="2" t="s">
        <v>30</v>
      </c>
      <c r="B36" t="s">
        <v>78</v>
      </c>
      <c r="C36" t="s">
        <v>80</v>
      </c>
      <c r="D36" s="2">
        <v>0.30698428</v>
      </c>
      <c r="E36" s="2">
        <v>1.804188E-2</v>
      </c>
      <c r="F36" s="2">
        <v>6.9992199999999996E-3</v>
      </c>
      <c r="G36" s="2">
        <v>2.5776987099999999</v>
      </c>
      <c r="H36" s="2">
        <v>0.29266667000000002</v>
      </c>
      <c r="I36" s="2">
        <v>6.5906300000000001E-3</v>
      </c>
      <c r="J36" s="2">
        <v>44.406447300000004</v>
      </c>
      <c r="K36" s="2">
        <v>6.6445306300000002</v>
      </c>
      <c r="L36" s="2">
        <v>1</v>
      </c>
      <c r="M36" s="2">
        <v>15</v>
      </c>
      <c r="N36" s="2">
        <v>2.1010540000000001E-2</v>
      </c>
      <c r="O36" s="2" t="b">
        <f t="shared" si="0"/>
        <v>0</v>
      </c>
      <c r="P36" s="2" t="s">
        <v>76</v>
      </c>
    </row>
    <row r="37" spans="1:16" x14ac:dyDescent="0.2">
      <c r="A37" s="2" t="s">
        <v>31</v>
      </c>
      <c r="B37" t="s">
        <v>78</v>
      </c>
      <c r="C37" t="s">
        <v>80</v>
      </c>
      <c r="D37" s="2">
        <v>0.31043296999999997</v>
      </c>
      <c r="E37" s="2">
        <v>1.7630759999999999E-2</v>
      </c>
      <c r="F37" s="2">
        <v>7.0228199999999999E-3</v>
      </c>
      <c r="G37" s="2">
        <v>2.51049692</v>
      </c>
      <c r="H37" s="2">
        <v>0.29220144999999997</v>
      </c>
      <c r="I37" s="2">
        <v>6.4975700000000003E-3</v>
      </c>
      <c r="J37" s="2">
        <v>44.970879799999999</v>
      </c>
      <c r="K37" s="2">
        <v>6.3025947899999997</v>
      </c>
      <c r="L37" s="2">
        <v>1</v>
      </c>
      <c r="M37" s="2">
        <v>14</v>
      </c>
      <c r="N37" s="2">
        <v>2.4955209999999999E-2</v>
      </c>
      <c r="O37" s="2" t="b">
        <f t="shared" si="0"/>
        <v>0</v>
      </c>
      <c r="P37" s="2" t="s">
        <v>76</v>
      </c>
    </row>
    <row r="38" spans="1:16" x14ac:dyDescent="0.2">
      <c r="A38" s="2" t="s">
        <v>35</v>
      </c>
      <c r="B38" t="s">
        <v>78</v>
      </c>
      <c r="C38" t="s">
        <v>80</v>
      </c>
      <c r="D38" s="2">
        <v>0.34129424000000003</v>
      </c>
      <c r="E38" s="2">
        <v>1.8921710000000001E-2</v>
      </c>
      <c r="F38" s="2">
        <v>6.7872799999999997E-3</v>
      </c>
      <c r="G38" s="2">
        <v>2.78781773</v>
      </c>
      <c r="H38" s="2">
        <v>0.29239671</v>
      </c>
      <c r="I38" s="2">
        <v>6.3827900000000002E-3</v>
      </c>
      <c r="J38" s="2">
        <v>45.810157500000003</v>
      </c>
      <c r="K38" s="2">
        <v>7.7719277099999999</v>
      </c>
      <c r="L38" s="2">
        <v>1</v>
      </c>
      <c r="M38" s="2">
        <v>15</v>
      </c>
      <c r="N38" s="2">
        <v>1.3794529999999999E-2</v>
      </c>
      <c r="O38" s="2" t="b">
        <f t="shared" si="0"/>
        <v>0</v>
      </c>
      <c r="P38" s="2" t="s">
        <v>76</v>
      </c>
    </row>
    <row r="39" spans="1:16" x14ac:dyDescent="0.2">
      <c r="A39" s="2" t="s">
        <v>38</v>
      </c>
      <c r="B39" t="s">
        <v>78</v>
      </c>
      <c r="C39" t="s">
        <v>80</v>
      </c>
      <c r="D39" s="2">
        <v>8.8022509999999998E-2</v>
      </c>
      <c r="E39" s="2">
        <v>9.3697699999999995E-3</v>
      </c>
      <c r="F39" s="2">
        <v>7.5398699999999997E-3</v>
      </c>
      <c r="G39" s="2">
        <v>1.24269571</v>
      </c>
      <c r="H39" s="2">
        <v>0.30179751999999999</v>
      </c>
      <c r="I39" s="2">
        <v>7.3793399999999999E-3</v>
      </c>
      <c r="J39" s="2">
        <v>40.897654000000003</v>
      </c>
      <c r="K39" s="2">
        <v>1.54429262</v>
      </c>
      <c r="L39" s="2">
        <v>1</v>
      </c>
      <c r="M39" s="2">
        <v>16</v>
      </c>
      <c r="N39" s="2">
        <v>0.23188462000000001</v>
      </c>
      <c r="O39" s="2" t="b">
        <f t="shared" si="0"/>
        <v>0</v>
      </c>
      <c r="P39" s="2" t="s">
        <v>76</v>
      </c>
    </row>
    <row r="40" spans="1:16" x14ac:dyDescent="0.2">
      <c r="A40" s="2" t="s">
        <v>43</v>
      </c>
      <c r="B40" t="s">
        <v>78</v>
      </c>
      <c r="C40" t="s">
        <v>80</v>
      </c>
      <c r="D40" s="2">
        <v>0.18718654000000001</v>
      </c>
      <c r="E40" s="2">
        <v>1.271597E-2</v>
      </c>
      <c r="F40" s="2">
        <v>6.6244199999999998E-3</v>
      </c>
      <c r="G40" s="2">
        <v>1.9195607400000001</v>
      </c>
      <c r="H40" s="2">
        <v>0.2965238</v>
      </c>
      <c r="I40" s="2">
        <v>6.3320599999999996E-3</v>
      </c>
      <c r="J40" s="2">
        <v>46.828932600000002</v>
      </c>
      <c r="K40" s="2">
        <v>3.68471343</v>
      </c>
      <c r="L40" s="2">
        <v>1</v>
      </c>
      <c r="M40" s="2">
        <v>16</v>
      </c>
      <c r="N40" s="2">
        <v>7.2926809999999995E-2</v>
      </c>
      <c r="O40" s="2" t="b">
        <f t="shared" si="0"/>
        <v>0</v>
      </c>
      <c r="P40" s="2" t="s">
        <v>76</v>
      </c>
    </row>
    <row r="41" spans="1:16" x14ac:dyDescent="0.2">
      <c r="A41" s="2" t="s">
        <v>71</v>
      </c>
      <c r="B41" t="s">
        <v>78</v>
      </c>
      <c r="C41" t="s">
        <v>80</v>
      </c>
      <c r="D41" s="2">
        <v>0.33662826000000001</v>
      </c>
      <c r="E41" s="2">
        <v>1.5195520000000001E-2</v>
      </c>
      <c r="F41" s="2">
        <v>6.1578400000000004E-3</v>
      </c>
      <c r="G41" s="2">
        <v>2.46767197</v>
      </c>
      <c r="H41" s="2">
        <v>0.29514639999999998</v>
      </c>
      <c r="I41" s="2">
        <v>5.4353099999999996E-3</v>
      </c>
      <c r="J41" s="2">
        <v>54.301703400000001</v>
      </c>
      <c r="K41" s="2">
        <v>6.0894049299999997</v>
      </c>
      <c r="L41" s="2">
        <v>1</v>
      </c>
      <c r="M41" s="2">
        <v>12</v>
      </c>
      <c r="N41" s="2">
        <v>2.96195E-2</v>
      </c>
      <c r="O41" s="2" t="b">
        <f t="shared" si="0"/>
        <v>0</v>
      </c>
      <c r="P41" s="2" t="s">
        <v>76</v>
      </c>
    </row>
    <row r="42" spans="1:16" x14ac:dyDescent="0.2">
      <c r="A42" s="2" t="s">
        <v>14</v>
      </c>
      <c r="B42" t="s">
        <v>78</v>
      </c>
      <c r="C42" t="s">
        <v>81</v>
      </c>
      <c r="D42" s="2">
        <v>0.28024075999999998</v>
      </c>
      <c r="E42" s="2">
        <v>1.5334510000000001E-2</v>
      </c>
      <c r="F42" s="2">
        <v>6.3452999999999999E-3</v>
      </c>
      <c r="G42" s="2">
        <v>2.4166717200000001</v>
      </c>
      <c r="H42" s="2">
        <v>0.29376690999999999</v>
      </c>
      <c r="I42" s="2">
        <v>5.9412900000000001E-3</v>
      </c>
      <c r="J42" s="2">
        <v>49.444944399999997</v>
      </c>
      <c r="K42" s="2">
        <v>5.8403022</v>
      </c>
      <c r="L42" s="2">
        <v>1</v>
      </c>
      <c r="M42" s="2">
        <v>15</v>
      </c>
      <c r="N42" s="2">
        <v>2.886793E-2</v>
      </c>
      <c r="O42" s="2" t="b">
        <f t="shared" si="0"/>
        <v>0</v>
      </c>
      <c r="P42" s="2" t="s">
        <v>76</v>
      </c>
    </row>
    <row r="43" spans="1:16" x14ac:dyDescent="0.2">
      <c r="A43" s="2" t="s">
        <v>22</v>
      </c>
      <c r="B43" t="s">
        <v>78</v>
      </c>
      <c r="C43" t="s">
        <v>81</v>
      </c>
      <c r="D43" s="2">
        <v>0.15568239</v>
      </c>
      <c r="E43" s="2">
        <v>9.01479E-3</v>
      </c>
      <c r="F43" s="2">
        <v>5.6108E-3</v>
      </c>
      <c r="G43" s="2">
        <v>1.60668536</v>
      </c>
      <c r="H43" s="2">
        <v>0.29855058000000001</v>
      </c>
      <c r="I43" s="2">
        <v>5.2883699999999997E-3</v>
      </c>
      <c r="J43" s="2">
        <v>56.454189100000001</v>
      </c>
      <c r="K43" s="2">
        <v>2.5814378499999999</v>
      </c>
      <c r="L43" s="2">
        <v>1</v>
      </c>
      <c r="M43" s="2">
        <v>14</v>
      </c>
      <c r="N43" s="2">
        <v>0.13043584</v>
      </c>
      <c r="O43" s="2" t="b">
        <f t="shared" si="0"/>
        <v>0</v>
      </c>
      <c r="P43" s="2" t="s">
        <v>76</v>
      </c>
    </row>
    <row r="44" spans="1:16" x14ac:dyDescent="0.2">
      <c r="A44" s="2" t="s">
        <v>24</v>
      </c>
      <c r="B44" t="s">
        <v>78</v>
      </c>
      <c r="C44" t="s">
        <v>81</v>
      </c>
      <c r="D44" s="2">
        <v>0.18689317999999999</v>
      </c>
      <c r="E44" s="2">
        <v>1.106787E-2</v>
      </c>
      <c r="F44" s="2">
        <v>6.9605700000000001E-3</v>
      </c>
      <c r="G44" s="2">
        <v>1.5900810700000001</v>
      </c>
      <c r="H44" s="2">
        <v>0.29668023999999998</v>
      </c>
      <c r="I44" s="2">
        <v>6.0185799999999999E-3</v>
      </c>
      <c r="J44" s="2">
        <v>49.294078599999999</v>
      </c>
      <c r="K44" s="2">
        <v>2.5283578200000001</v>
      </c>
      <c r="L44" s="2">
        <v>1</v>
      </c>
      <c r="M44" s="2">
        <v>11</v>
      </c>
      <c r="N44" s="2">
        <v>0.14012382000000001</v>
      </c>
      <c r="O44" s="2" t="b">
        <f t="shared" si="0"/>
        <v>0</v>
      </c>
      <c r="P44" s="2" t="s">
        <v>76</v>
      </c>
    </row>
    <row r="45" spans="1:16" x14ac:dyDescent="0.2">
      <c r="A45" s="2" t="s">
        <v>25</v>
      </c>
      <c r="B45" t="s">
        <v>78</v>
      </c>
      <c r="C45" t="s">
        <v>81</v>
      </c>
      <c r="D45" s="2">
        <v>0.23592768</v>
      </c>
      <c r="E45" s="2">
        <v>1.220824E-2</v>
      </c>
      <c r="F45" s="2">
        <v>6.0933899999999997E-3</v>
      </c>
      <c r="G45" s="2">
        <v>2.00352095</v>
      </c>
      <c r="H45" s="2">
        <v>0.29640776000000002</v>
      </c>
      <c r="I45" s="2">
        <v>5.5157000000000001E-3</v>
      </c>
      <c r="J45" s="2">
        <v>53.7388805</v>
      </c>
      <c r="K45" s="2">
        <v>4.0140961800000001</v>
      </c>
      <c r="L45" s="2">
        <v>1</v>
      </c>
      <c r="M45" s="2">
        <v>13</v>
      </c>
      <c r="N45" s="2">
        <v>6.6420160000000006E-2</v>
      </c>
      <c r="O45" s="2" t="b">
        <f t="shared" si="0"/>
        <v>0</v>
      </c>
      <c r="P45" s="2" t="s">
        <v>76</v>
      </c>
    </row>
    <row r="46" spans="1:16" x14ac:dyDescent="0.2">
      <c r="A46" s="2" t="s">
        <v>28</v>
      </c>
      <c r="B46" t="s">
        <v>78</v>
      </c>
      <c r="C46" t="s">
        <v>81</v>
      </c>
      <c r="D46" s="2">
        <v>0.38257186999999998</v>
      </c>
      <c r="E46" s="2">
        <v>1.7650300000000001E-2</v>
      </c>
      <c r="F46" s="2">
        <v>6.7607099999999996E-3</v>
      </c>
      <c r="G46" s="2">
        <v>2.61071616</v>
      </c>
      <c r="H46" s="2">
        <v>0.29333214000000002</v>
      </c>
      <c r="I46" s="2">
        <v>5.8250000000000003E-3</v>
      </c>
      <c r="J46" s="2">
        <v>50.357408499999998</v>
      </c>
      <c r="K46" s="2">
        <v>6.8158388900000002</v>
      </c>
      <c r="L46" s="2">
        <v>1</v>
      </c>
      <c r="M46" s="2">
        <v>11</v>
      </c>
      <c r="N46" s="2">
        <v>2.4226540000000001E-2</v>
      </c>
      <c r="O46" s="2" t="b">
        <f t="shared" si="0"/>
        <v>0</v>
      </c>
      <c r="P46" s="2" t="s">
        <v>76</v>
      </c>
    </row>
    <row r="47" spans="1:16" x14ac:dyDescent="0.2">
      <c r="A47" s="2" t="s">
        <v>44</v>
      </c>
      <c r="B47" t="s">
        <v>78</v>
      </c>
      <c r="C47" t="s">
        <v>81</v>
      </c>
      <c r="D47" s="2">
        <v>0.2352745</v>
      </c>
      <c r="E47" s="2">
        <v>1.3488409999999999E-2</v>
      </c>
      <c r="F47" s="2">
        <v>5.8979599999999998E-3</v>
      </c>
      <c r="G47" s="2">
        <v>2.2869628400000002</v>
      </c>
      <c r="H47" s="2">
        <v>0.29543996</v>
      </c>
      <c r="I47" s="2">
        <v>5.8355400000000002E-3</v>
      </c>
      <c r="J47" s="2">
        <v>50.627672099999998</v>
      </c>
      <c r="K47" s="2">
        <v>5.2301990399999996</v>
      </c>
      <c r="L47" s="2">
        <v>1</v>
      </c>
      <c r="M47" s="2">
        <v>17</v>
      </c>
      <c r="N47" s="2">
        <v>3.5292879999999999E-2</v>
      </c>
      <c r="O47" s="2" t="b">
        <f t="shared" si="0"/>
        <v>0</v>
      </c>
      <c r="P47" s="2" t="s">
        <v>76</v>
      </c>
    </row>
    <row r="48" spans="1:16" x14ac:dyDescent="0.2">
      <c r="A48" s="2" t="s">
        <v>51</v>
      </c>
      <c r="B48" t="s">
        <v>78</v>
      </c>
      <c r="C48" t="s">
        <v>81</v>
      </c>
      <c r="D48" s="2">
        <v>0.24275234000000001</v>
      </c>
      <c r="E48" s="2">
        <v>1.3228699999999999E-2</v>
      </c>
      <c r="F48" s="2">
        <v>5.8411000000000001E-3</v>
      </c>
      <c r="G48" s="2">
        <v>2.2647628399999999</v>
      </c>
      <c r="H48" s="2">
        <v>0.29570363999999999</v>
      </c>
      <c r="I48" s="2">
        <v>5.7618000000000001E-3</v>
      </c>
      <c r="J48" s="2">
        <v>51.321373999999999</v>
      </c>
      <c r="K48" s="2">
        <v>5.1291507300000001</v>
      </c>
      <c r="L48" s="2">
        <v>1</v>
      </c>
      <c r="M48" s="2">
        <v>16</v>
      </c>
      <c r="N48" s="2">
        <v>3.776769E-2</v>
      </c>
      <c r="O48" s="2" t="b">
        <f t="shared" si="0"/>
        <v>0</v>
      </c>
      <c r="P48" s="2" t="s">
        <v>76</v>
      </c>
    </row>
    <row r="49" spans="1:16" x14ac:dyDescent="0.2">
      <c r="A49" s="2" t="s">
        <v>57</v>
      </c>
      <c r="B49" t="s">
        <v>78</v>
      </c>
      <c r="C49" t="s">
        <v>81</v>
      </c>
      <c r="D49" s="2">
        <v>0.29094694999999998</v>
      </c>
      <c r="E49" s="2">
        <v>1.343011E-2</v>
      </c>
      <c r="F49" s="2">
        <v>5.4133499999999999E-3</v>
      </c>
      <c r="G49" s="2">
        <v>2.4809223600000001</v>
      </c>
      <c r="H49" s="2">
        <v>0.29554597999999999</v>
      </c>
      <c r="I49" s="2">
        <v>5.0983799999999996E-3</v>
      </c>
      <c r="J49" s="2">
        <v>57.968601</v>
      </c>
      <c r="K49" s="2">
        <v>6.1549757600000001</v>
      </c>
      <c r="L49" s="2">
        <v>1</v>
      </c>
      <c r="M49" s="2">
        <v>15</v>
      </c>
      <c r="N49" s="2">
        <v>2.544532E-2</v>
      </c>
      <c r="O49" s="2" t="b">
        <f t="shared" si="0"/>
        <v>0</v>
      </c>
      <c r="P49" s="2" t="s">
        <v>76</v>
      </c>
    </row>
    <row r="50" spans="1:16" x14ac:dyDescent="0.2">
      <c r="A50" s="2" t="s">
        <v>60</v>
      </c>
      <c r="B50" t="s">
        <v>78</v>
      </c>
      <c r="C50" t="s">
        <v>81</v>
      </c>
      <c r="D50" s="2">
        <v>0.13541760999999999</v>
      </c>
      <c r="E50" s="2">
        <v>8.8595299999999991E-3</v>
      </c>
      <c r="F50" s="2">
        <v>5.7800400000000002E-3</v>
      </c>
      <c r="G50" s="2">
        <v>1.53278063</v>
      </c>
      <c r="H50" s="2">
        <v>0.29922346</v>
      </c>
      <c r="I50" s="2">
        <v>5.5721499999999997E-3</v>
      </c>
      <c r="J50" s="2">
        <v>53.699843999999999</v>
      </c>
      <c r="K50" s="2">
        <v>2.34941646</v>
      </c>
      <c r="L50" s="2">
        <v>1</v>
      </c>
      <c r="M50" s="2">
        <v>15</v>
      </c>
      <c r="N50" s="2">
        <v>0.14614758</v>
      </c>
      <c r="O50" s="2" t="b">
        <f t="shared" si="0"/>
        <v>0</v>
      </c>
      <c r="P50" s="2" t="s">
        <v>76</v>
      </c>
    </row>
    <row r="51" spans="1:16" x14ac:dyDescent="0.2">
      <c r="A51" s="2" t="s">
        <v>70</v>
      </c>
      <c r="B51" t="s">
        <v>78</v>
      </c>
      <c r="C51" t="s">
        <v>81</v>
      </c>
      <c r="D51" s="2">
        <v>0.19098451999999999</v>
      </c>
      <c r="E51" s="2">
        <v>1.103084E-2</v>
      </c>
      <c r="F51" s="2">
        <v>6.0676999999999997E-3</v>
      </c>
      <c r="G51" s="2">
        <v>1.8179615</v>
      </c>
      <c r="H51" s="2">
        <v>0.29677171000000002</v>
      </c>
      <c r="I51" s="2">
        <v>5.5821999999999998E-3</v>
      </c>
      <c r="J51" s="2">
        <v>53.163947399999998</v>
      </c>
      <c r="K51" s="2">
        <v>3.30498402</v>
      </c>
      <c r="L51" s="2">
        <v>1</v>
      </c>
      <c r="M51" s="2">
        <v>14</v>
      </c>
      <c r="N51" s="2">
        <v>9.0527189999999993E-2</v>
      </c>
      <c r="O51" s="2" t="b">
        <f t="shared" si="0"/>
        <v>0</v>
      </c>
      <c r="P51" s="2" t="s">
        <v>76</v>
      </c>
    </row>
    <row r="52" spans="1:16" x14ac:dyDescent="0.2">
      <c r="A52" s="2" t="s">
        <v>18</v>
      </c>
      <c r="B52" t="s">
        <v>78</v>
      </c>
      <c r="C52" t="s">
        <v>82</v>
      </c>
      <c r="D52" s="2">
        <v>0.11729477000000001</v>
      </c>
      <c r="E52" s="2">
        <v>5.2031500000000001E-3</v>
      </c>
      <c r="F52" s="2">
        <v>3.9588000000000002E-3</v>
      </c>
      <c r="G52" s="2">
        <v>1.3143261399999999</v>
      </c>
      <c r="H52" s="2">
        <v>0.30100576000000001</v>
      </c>
      <c r="I52" s="2">
        <v>3.5917800000000001E-3</v>
      </c>
      <c r="J52" s="2">
        <v>83.8040357</v>
      </c>
      <c r="K52" s="2">
        <v>1.7274531900000001</v>
      </c>
      <c r="L52" s="2">
        <v>1</v>
      </c>
      <c r="M52" s="2">
        <v>13</v>
      </c>
      <c r="N52" s="2">
        <v>0.21145464</v>
      </c>
      <c r="O52" s="2" t="b">
        <f t="shared" si="0"/>
        <v>0</v>
      </c>
      <c r="P52" s="2" t="s">
        <v>76</v>
      </c>
    </row>
    <row r="53" spans="1:16" x14ac:dyDescent="0.2">
      <c r="A53" s="2" t="s">
        <v>19</v>
      </c>
      <c r="B53" t="s">
        <v>78</v>
      </c>
      <c r="C53" t="s">
        <v>82</v>
      </c>
      <c r="D53" s="2">
        <v>0.26367909</v>
      </c>
      <c r="E53" s="2">
        <v>1.3896729999999999E-2</v>
      </c>
      <c r="F53" s="2">
        <v>6.2064700000000004E-3</v>
      </c>
      <c r="G53" s="2">
        <v>2.2390732400000002</v>
      </c>
      <c r="H53" s="2">
        <v>0.29533746999999999</v>
      </c>
      <c r="I53" s="2">
        <v>5.7220400000000003E-3</v>
      </c>
      <c r="J53" s="2">
        <v>51.614003799999999</v>
      </c>
      <c r="K53" s="2">
        <v>5.0134489599999998</v>
      </c>
      <c r="L53" s="2">
        <v>1</v>
      </c>
      <c r="M53" s="2">
        <v>14</v>
      </c>
      <c r="N53" s="2">
        <v>4.1907979999999997E-2</v>
      </c>
      <c r="O53" s="2" t="b">
        <f t="shared" si="0"/>
        <v>0</v>
      </c>
      <c r="P53" s="2" t="s">
        <v>76</v>
      </c>
    </row>
    <row r="54" spans="1:16" x14ac:dyDescent="0.2">
      <c r="A54" s="2" t="s">
        <v>32</v>
      </c>
      <c r="B54" t="s">
        <v>78</v>
      </c>
      <c r="C54" t="s">
        <v>82</v>
      </c>
      <c r="D54" s="2">
        <v>0.20280970000000001</v>
      </c>
      <c r="E54" s="2">
        <v>1.066313E-2</v>
      </c>
      <c r="F54" s="2">
        <v>5.8634000000000004E-3</v>
      </c>
      <c r="G54" s="2">
        <v>1.8185909600000001</v>
      </c>
      <c r="H54" s="2">
        <v>0.29750397000000001</v>
      </c>
      <c r="I54" s="2">
        <v>5.2825099999999998E-3</v>
      </c>
      <c r="J54" s="2">
        <v>56.318717399999997</v>
      </c>
      <c r="K54" s="2">
        <v>3.3072730799999999</v>
      </c>
      <c r="L54" s="2">
        <v>1</v>
      </c>
      <c r="M54" s="2">
        <v>13</v>
      </c>
      <c r="N54" s="2">
        <v>9.2078019999999997E-2</v>
      </c>
      <c r="O54" s="2" t="b">
        <f t="shared" si="0"/>
        <v>0</v>
      </c>
      <c r="P54" s="2" t="s">
        <v>76</v>
      </c>
    </row>
    <row r="55" spans="1:16" x14ac:dyDescent="0.2">
      <c r="A55" s="2" t="s">
        <v>36</v>
      </c>
      <c r="B55" t="s">
        <v>78</v>
      </c>
      <c r="C55" t="s">
        <v>82</v>
      </c>
      <c r="D55" s="2">
        <v>0.24800261000000001</v>
      </c>
      <c r="E55" s="2">
        <v>2.0330870000000001E-2</v>
      </c>
      <c r="F55" s="2">
        <v>1.119531E-2</v>
      </c>
      <c r="G55" s="2">
        <v>1.8160172000000001</v>
      </c>
      <c r="H55" s="2">
        <v>0.28951099000000002</v>
      </c>
      <c r="I55" s="2">
        <v>1.0087540000000001E-2</v>
      </c>
      <c r="J55" s="2">
        <v>28.699855500000002</v>
      </c>
      <c r="K55" s="2">
        <v>3.2979184699999999</v>
      </c>
      <c r="L55" s="2">
        <v>1</v>
      </c>
      <c r="M55" s="2">
        <v>10</v>
      </c>
      <c r="N55" s="2">
        <v>9.9421339999999997E-2</v>
      </c>
      <c r="O55" s="2" t="b">
        <f t="shared" si="0"/>
        <v>0</v>
      </c>
      <c r="P55" s="2" t="s">
        <v>76</v>
      </c>
    </row>
    <row r="56" spans="1:16" x14ac:dyDescent="0.2">
      <c r="A56" s="2" t="s">
        <v>47</v>
      </c>
      <c r="B56" t="s">
        <v>78</v>
      </c>
      <c r="C56" t="s">
        <v>82</v>
      </c>
      <c r="D56" s="2">
        <v>0.18348150999999999</v>
      </c>
      <c r="E56" s="2">
        <v>1.205028E-2</v>
      </c>
      <c r="F56" s="2">
        <v>6.7939100000000002E-3</v>
      </c>
      <c r="G56" s="2">
        <v>1.7736877099999999</v>
      </c>
      <c r="H56" s="2">
        <v>0.29596064999999999</v>
      </c>
      <c r="I56" s="2">
        <v>6.2745700000000001E-3</v>
      </c>
      <c r="J56" s="2">
        <v>47.168275800000004</v>
      </c>
      <c r="K56" s="2">
        <v>3.1459681000000002</v>
      </c>
      <c r="L56" s="2">
        <v>1</v>
      </c>
      <c r="M56" s="2">
        <v>14</v>
      </c>
      <c r="N56" s="2">
        <v>9.7858379999999995E-2</v>
      </c>
      <c r="O56" s="2" t="b">
        <f t="shared" si="0"/>
        <v>0</v>
      </c>
      <c r="P56" s="2" t="s">
        <v>76</v>
      </c>
    </row>
    <row r="57" spans="1:16" x14ac:dyDescent="0.2">
      <c r="A57" s="2" t="s">
        <v>48</v>
      </c>
      <c r="B57" t="s">
        <v>78</v>
      </c>
      <c r="C57" t="s">
        <v>82</v>
      </c>
      <c r="D57" s="2">
        <v>0.10581342000000001</v>
      </c>
      <c r="E57" s="2">
        <v>6.2114700000000002E-3</v>
      </c>
      <c r="F57" s="2">
        <v>4.8258499999999996E-3</v>
      </c>
      <c r="G57" s="2">
        <v>1.2871237799999999</v>
      </c>
      <c r="H57" s="2">
        <v>0.30035035999999998</v>
      </c>
      <c r="I57" s="2">
        <v>4.4854300000000003E-3</v>
      </c>
      <c r="J57" s="2">
        <v>66.961293499999996</v>
      </c>
      <c r="K57" s="2">
        <v>1.65668762</v>
      </c>
      <c r="L57" s="2">
        <v>1</v>
      </c>
      <c r="M57" s="2">
        <v>14</v>
      </c>
      <c r="N57" s="2">
        <v>0.21892511000000001</v>
      </c>
      <c r="O57" s="2" t="b">
        <f t="shared" si="0"/>
        <v>0</v>
      </c>
      <c r="P57" s="2" t="s">
        <v>76</v>
      </c>
    </row>
    <row r="58" spans="1:16" x14ac:dyDescent="0.2">
      <c r="A58" s="2" t="s">
        <v>53</v>
      </c>
      <c r="B58" t="s">
        <v>78</v>
      </c>
      <c r="C58" t="s">
        <v>82</v>
      </c>
      <c r="D58" s="2">
        <v>0.23936978</v>
      </c>
      <c r="E58" s="2">
        <v>1.4760219999999999E-2</v>
      </c>
      <c r="F58" s="2">
        <v>7.59547E-3</v>
      </c>
      <c r="G58" s="2">
        <v>1.9432939499999999</v>
      </c>
      <c r="H58" s="2">
        <v>0.29460425000000001</v>
      </c>
      <c r="I58" s="2">
        <v>6.7008500000000004E-3</v>
      </c>
      <c r="J58" s="2">
        <v>43.965178100000003</v>
      </c>
      <c r="K58" s="2">
        <v>3.7763913599999999</v>
      </c>
      <c r="L58" s="2">
        <v>1</v>
      </c>
      <c r="M58" s="2">
        <v>12</v>
      </c>
      <c r="N58" s="2">
        <v>7.5808130000000001E-2</v>
      </c>
      <c r="O58" s="2" t="b">
        <f t="shared" si="0"/>
        <v>0</v>
      </c>
      <c r="P58" s="2" t="s">
        <v>76</v>
      </c>
    </row>
    <row r="59" spans="1:16" x14ac:dyDescent="0.2">
      <c r="A59" s="2" t="s">
        <v>55</v>
      </c>
      <c r="B59" t="s">
        <v>78</v>
      </c>
      <c r="C59" t="s">
        <v>82</v>
      </c>
      <c r="D59" s="2">
        <v>0.40627675000000002</v>
      </c>
      <c r="E59" s="2">
        <v>1.0072859999999999E-2</v>
      </c>
      <c r="F59" s="2">
        <v>3.5151399999999999E-3</v>
      </c>
      <c r="G59" s="2">
        <v>2.8655604600000002</v>
      </c>
      <c r="H59" s="2">
        <v>0.29773476999999998</v>
      </c>
      <c r="I59" s="2">
        <v>3.05083E-3</v>
      </c>
      <c r="J59" s="2">
        <v>97.591315499999993</v>
      </c>
      <c r="K59" s="2">
        <v>8.2114367700000006</v>
      </c>
      <c r="L59" s="2">
        <v>1</v>
      </c>
      <c r="M59" s="2">
        <v>12</v>
      </c>
      <c r="N59" s="2">
        <v>1.4206420000000001E-2</v>
      </c>
      <c r="O59" s="2" t="b">
        <f t="shared" si="0"/>
        <v>0</v>
      </c>
      <c r="P59" s="2" t="s">
        <v>76</v>
      </c>
    </row>
    <row r="60" spans="1:16" x14ac:dyDescent="0.2">
      <c r="A60" s="2" t="s">
        <v>68</v>
      </c>
      <c r="B60" t="s">
        <v>78</v>
      </c>
      <c r="C60" t="s">
        <v>82</v>
      </c>
      <c r="D60" s="2">
        <v>0.18234101</v>
      </c>
      <c r="E60" s="2">
        <v>1.318602E-2</v>
      </c>
      <c r="F60" s="2">
        <v>8.0605899999999994E-3</v>
      </c>
      <c r="G60" s="2">
        <v>1.6358621099999999</v>
      </c>
      <c r="H60" s="2">
        <v>0.29540726</v>
      </c>
      <c r="I60" s="2">
        <v>7.1782399999999998E-3</v>
      </c>
      <c r="J60" s="2">
        <v>41.153188399999998</v>
      </c>
      <c r="K60" s="2">
        <v>2.6760448499999998</v>
      </c>
      <c r="L60" s="2">
        <v>1</v>
      </c>
      <c r="M60" s="2">
        <v>12</v>
      </c>
      <c r="N60" s="2">
        <v>0.12780842000000001</v>
      </c>
      <c r="O60" s="2" t="b">
        <f t="shared" si="0"/>
        <v>0</v>
      </c>
      <c r="P60" s="2" t="s">
        <v>76</v>
      </c>
    </row>
    <row r="61" spans="1:16" x14ac:dyDescent="0.2">
      <c r="A61" s="2" t="s">
        <v>69</v>
      </c>
      <c r="B61" t="s">
        <v>78</v>
      </c>
      <c r="C61" t="s">
        <v>82</v>
      </c>
      <c r="D61" s="2">
        <v>0.13640906999999999</v>
      </c>
      <c r="E61" s="2">
        <v>7.1305400000000003E-3</v>
      </c>
      <c r="F61" s="2">
        <v>4.6324299999999999E-3</v>
      </c>
      <c r="G61" s="2">
        <v>1.5392643800000001</v>
      </c>
      <c r="H61" s="2">
        <v>0.2998094</v>
      </c>
      <c r="I61" s="2">
        <v>4.4119600000000004E-3</v>
      </c>
      <c r="J61" s="2">
        <v>67.953857400000004</v>
      </c>
      <c r="K61" s="2">
        <v>2.3693348300000001</v>
      </c>
      <c r="L61" s="2">
        <v>1</v>
      </c>
      <c r="M61" s="2">
        <v>15</v>
      </c>
      <c r="N61" s="2">
        <v>0.14456635000000001</v>
      </c>
      <c r="O61" s="2" t="b">
        <f t="shared" si="0"/>
        <v>0</v>
      </c>
      <c r="P61" s="2" t="s">
        <v>76</v>
      </c>
    </row>
  </sheetData>
  <sortState xmlns:xlrd2="http://schemas.microsoft.com/office/spreadsheetml/2017/richdata2" ref="A2:P62">
    <sortCondition ref="C2:C6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1CF5-0E8F-FA4A-ABB7-7B5992559503}">
  <dimension ref="A1:P61"/>
  <sheetViews>
    <sheetView workbookViewId="0">
      <selection activeCell="E11" sqref="E11"/>
    </sheetView>
  </sheetViews>
  <sheetFormatPr baseColWidth="10" defaultRowHeight="16" x14ac:dyDescent="0.2"/>
  <cols>
    <col min="1" max="1" width="54.6640625" bestFit="1" customWidth="1"/>
  </cols>
  <sheetData>
    <row r="1" spans="1:16" x14ac:dyDescent="0.2">
      <c r="A1" s="2" t="s">
        <v>0</v>
      </c>
      <c r="B1" t="s">
        <v>72</v>
      </c>
      <c r="C1" t="s">
        <v>73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111</v>
      </c>
      <c r="P1" s="2" t="s">
        <v>100</v>
      </c>
    </row>
    <row r="2" spans="1:16" x14ac:dyDescent="0.2">
      <c r="A2" s="2" t="s">
        <v>15</v>
      </c>
      <c r="B2" t="s">
        <v>74</v>
      </c>
      <c r="C2" t="s">
        <v>75</v>
      </c>
      <c r="D2" s="2">
        <v>3.3920579999999999E-2</v>
      </c>
      <c r="E2" s="2">
        <v>-2.31361E-2</v>
      </c>
      <c r="F2" s="2">
        <v>2.4214699999999999E-2</v>
      </c>
      <c r="G2" s="2">
        <v>-0.95545869999999999</v>
      </c>
      <c r="H2" s="2">
        <v>0.79996646000000005</v>
      </c>
      <c r="I2" s="2">
        <v>2.7380689999999999E-2</v>
      </c>
      <c r="J2" s="2">
        <v>29.216443300000002</v>
      </c>
      <c r="K2" s="2">
        <v>0.91290130000000003</v>
      </c>
      <c r="L2" s="2">
        <v>1</v>
      </c>
      <c r="M2" s="2">
        <v>26</v>
      </c>
      <c r="N2" s="2">
        <v>0.34814578000000002</v>
      </c>
      <c r="O2" s="2" t="b">
        <f>N2&lt;0.01</f>
        <v>0</v>
      </c>
      <c r="P2" s="2" t="s">
        <v>78</v>
      </c>
    </row>
    <row r="3" spans="1:16" x14ac:dyDescent="0.2">
      <c r="A3" s="2" t="s">
        <v>37</v>
      </c>
      <c r="B3" t="s">
        <v>74</v>
      </c>
      <c r="C3" t="s">
        <v>75</v>
      </c>
      <c r="D3" s="2">
        <v>7.2059200000000002E-3</v>
      </c>
      <c r="E3" s="2">
        <v>-1.3123900000000001E-2</v>
      </c>
      <c r="F3" s="2">
        <v>3.0210810000000001E-2</v>
      </c>
      <c r="G3" s="2">
        <v>-0.43441200000000002</v>
      </c>
      <c r="H3" s="2">
        <v>0.79160257999999994</v>
      </c>
      <c r="I3" s="2">
        <v>3.4059720000000002E-2</v>
      </c>
      <c r="J3" s="2">
        <v>23.241608899999999</v>
      </c>
      <c r="K3" s="2">
        <v>0.18871378999999999</v>
      </c>
      <c r="L3" s="2">
        <v>1</v>
      </c>
      <c r="M3" s="2">
        <v>26</v>
      </c>
      <c r="N3" s="2">
        <v>0.66757330999999998</v>
      </c>
      <c r="O3" s="2" t="b">
        <f t="shared" ref="O3:O61" si="0">N3&lt;0.01</f>
        <v>0</v>
      </c>
      <c r="P3" s="2" t="s">
        <v>78</v>
      </c>
    </row>
    <row r="4" spans="1:16" x14ac:dyDescent="0.2">
      <c r="A4" s="2" t="s">
        <v>39</v>
      </c>
      <c r="B4" t="s">
        <v>74</v>
      </c>
      <c r="C4" t="s">
        <v>75</v>
      </c>
      <c r="D4" s="2">
        <v>2.5889490000000001E-2</v>
      </c>
      <c r="E4" s="2">
        <v>-2.5080499999999999E-2</v>
      </c>
      <c r="F4" s="2">
        <v>3.3571360000000001E-2</v>
      </c>
      <c r="G4" s="2">
        <v>-0.74708030000000003</v>
      </c>
      <c r="H4" s="2">
        <v>0.81015176</v>
      </c>
      <c r="I4" s="2">
        <v>3.524766E-2</v>
      </c>
      <c r="J4" s="2">
        <v>22.9845553</v>
      </c>
      <c r="K4" s="2">
        <v>0.55812898</v>
      </c>
      <c r="L4" s="2">
        <v>1</v>
      </c>
      <c r="M4" s="2">
        <v>21</v>
      </c>
      <c r="N4" s="2">
        <v>0.46329849000000001</v>
      </c>
      <c r="O4" s="2" t="b">
        <f t="shared" si="0"/>
        <v>0</v>
      </c>
      <c r="P4" s="2" t="s">
        <v>78</v>
      </c>
    </row>
    <row r="5" spans="1:16" x14ac:dyDescent="0.2">
      <c r="A5" s="2" t="s">
        <v>45</v>
      </c>
      <c r="B5" t="s">
        <v>74</v>
      </c>
      <c r="C5" t="s">
        <v>75</v>
      </c>
      <c r="D5" s="2">
        <v>7.0632520000000004E-2</v>
      </c>
      <c r="E5" s="2">
        <v>-4.2210900000000003E-2</v>
      </c>
      <c r="F5" s="2">
        <v>3.062287E-2</v>
      </c>
      <c r="G5" s="2">
        <v>-1.3784107000000001</v>
      </c>
      <c r="H5" s="2">
        <v>0.81164291</v>
      </c>
      <c r="I5" s="2">
        <v>3.4196869999999997E-2</v>
      </c>
      <c r="J5" s="2">
        <v>23.734417700000002</v>
      </c>
      <c r="K5" s="2">
        <v>1.90001598</v>
      </c>
      <c r="L5" s="2">
        <v>1</v>
      </c>
      <c r="M5" s="2">
        <v>25</v>
      </c>
      <c r="N5" s="2">
        <v>0.18028810000000001</v>
      </c>
      <c r="O5" s="2" t="b">
        <f t="shared" si="0"/>
        <v>0</v>
      </c>
      <c r="P5" s="2" t="s">
        <v>78</v>
      </c>
    </row>
    <row r="6" spans="1:16" x14ac:dyDescent="0.2">
      <c r="A6" s="2" t="s">
        <v>46</v>
      </c>
      <c r="B6" t="s">
        <v>74</v>
      </c>
      <c r="C6" t="s">
        <v>75</v>
      </c>
      <c r="D6" s="2">
        <v>2.1275550000000001E-2</v>
      </c>
      <c r="E6" s="2">
        <v>-2.2613999999999999E-2</v>
      </c>
      <c r="F6" s="2">
        <v>3.008021E-2</v>
      </c>
      <c r="G6" s="2">
        <v>-0.75179050000000003</v>
      </c>
      <c r="H6" s="2">
        <v>0.79979776999999996</v>
      </c>
      <c r="I6" s="2">
        <v>3.343865E-2</v>
      </c>
      <c r="J6" s="2">
        <v>23.9183612</v>
      </c>
      <c r="K6" s="2">
        <v>0.56518895000000002</v>
      </c>
      <c r="L6" s="2">
        <v>1</v>
      </c>
      <c r="M6" s="2">
        <v>26</v>
      </c>
      <c r="N6" s="2">
        <v>0.45892897999999999</v>
      </c>
      <c r="O6" s="2" t="b">
        <f t="shared" si="0"/>
        <v>0</v>
      </c>
      <c r="P6" s="2" t="s">
        <v>78</v>
      </c>
    </row>
    <row r="7" spans="1:16" x14ac:dyDescent="0.2">
      <c r="A7" s="2" t="s">
        <v>49</v>
      </c>
      <c r="B7" t="s">
        <v>74</v>
      </c>
      <c r="C7" t="s">
        <v>75</v>
      </c>
      <c r="D7" s="2">
        <v>1.7362229999999999E-2</v>
      </c>
      <c r="E7" s="2">
        <v>-2.2552599999999999E-2</v>
      </c>
      <c r="F7" s="2">
        <v>3.2651930000000003E-2</v>
      </c>
      <c r="G7" s="2">
        <v>-0.69069749999999996</v>
      </c>
      <c r="H7" s="2">
        <v>0.80519744999999998</v>
      </c>
      <c r="I7" s="2">
        <v>3.7607300000000003E-2</v>
      </c>
      <c r="J7" s="2">
        <v>21.410667700000001</v>
      </c>
      <c r="K7" s="2">
        <v>0.47706304999999999</v>
      </c>
      <c r="L7" s="2">
        <v>1</v>
      </c>
      <c r="M7" s="2">
        <v>27</v>
      </c>
      <c r="N7" s="2">
        <v>0.49565118000000002</v>
      </c>
      <c r="O7" s="2" t="b">
        <f t="shared" si="0"/>
        <v>0</v>
      </c>
      <c r="P7" s="2" t="s">
        <v>78</v>
      </c>
    </row>
    <row r="8" spans="1:16" x14ac:dyDescent="0.2">
      <c r="A8" s="2" t="s">
        <v>58</v>
      </c>
      <c r="B8" t="s">
        <v>74</v>
      </c>
      <c r="C8" t="s">
        <v>75</v>
      </c>
      <c r="D8" s="2">
        <v>1.78352E-3</v>
      </c>
      <c r="E8" s="2">
        <v>4.7495999999999997E-3</v>
      </c>
      <c r="F8" s="2">
        <v>2.1234949999999999E-2</v>
      </c>
      <c r="G8" s="2">
        <v>0.22366887999999999</v>
      </c>
      <c r="H8" s="2">
        <v>0.77829232999999998</v>
      </c>
      <c r="I8" s="2">
        <v>2.5162589999999999E-2</v>
      </c>
      <c r="J8" s="2">
        <v>30.9305357</v>
      </c>
      <c r="K8" s="2">
        <v>5.0027769999999999E-2</v>
      </c>
      <c r="L8" s="2">
        <v>1</v>
      </c>
      <c r="M8" s="2">
        <v>28</v>
      </c>
      <c r="N8" s="2">
        <v>0.82463889000000001</v>
      </c>
      <c r="O8" s="2" t="b">
        <f t="shared" si="0"/>
        <v>0</v>
      </c>
      <c r="P8" s="2" t="s">
        <v>78</v>
      </c>
    </row>
    <row r="9" spans="1:16" x14ac:dyDescent="0.2">
      <c r="A9" s="2" t="s">
        <v>62</v>
      </c>
      <c r="B9" t="s">
        <v>74</v>
      </c>
      <c r="C9" t="s">
        <v>75</v>
      </c>
      <c r="D9" s="2">
        <v>5.8386489999999999E-2</v>
      </c>
      <c r="E9" s="2">
        <v>-3.3139399999999999E-2</v>
      </c>
      <c r="F9" s="2">
        <v>2.9041259999999999E-2</v>
      </c>
      <c r="G9" s="2">
        <v>-1.1411152</v>
      </c>
      <c r="H9" s="2">
        <v>0.81864868999999996</v>
      </c>
      <c r="I9" s="2">
        <v>3.115714E-2</v>
      </c>
      <c r="J9" s="2">
        <v>26.2748335</v>
      </c>
      <c r="K9" s="2">
        <v>1.30214399</v>
      </c>
      <c r="L9" s="2">
        <v>1</v>
      </c>
      <c r="M9" s="2">
        <v>21</v>
      </c>
      <c r="N9" s="2">
        <v>0.26666837999999998</v>
      </c>
      <c r="O9" s="2" t="b">
        <f t="shared" si="0"/>
        <v>0</v>
      </c>
      <c r="P9" s="2" t="s">
        <v>78</v>
      </c>
    </row>
    <row r="10" spans="1:16" x14ac:dyDescent="0.2">
      <c r="A10" s="2" t="s">
        <v>65</v>
      </c>
      <c r="B10" t="s">
        <v>74</v>
      </c>
      <c r="C10" t="s">
        <v>75</v>
      </c>
      <c r="D10" s="2">
        <v>3.3476230000000003E-2</v>
      </c>
      <c r="E10" s="2">
        <v>-1.9354900000000001E-2</v>
      </c>
      <c r="F10" s="2">
        <v>2.2694389999999998E-2</v>
      </c>
      <c r="G10" s="2">
        <v>-0.85284800000000005</v>
      </c>
      <c r="H10" s="2">
        <v>0.80360195000000001</v>
      </c>
      <c r="I10" s="2">
        <v>2.399447E-2</v>
      </c>
      <c r="J10" s="2">
        <v>33.491125400000001</v>
      </c>
      <c r="K10" s="2">
        <v>0.72734964999999996</v>
      </c>
      <c r="L10" s="2">
        <v>1</v>
      </c>
      <c r="M10" s="2">
        <v>21</v>
      </c>
      <c r="N10" s="2">
        <v>0.40336631000000001</v>
      </c>
      <c r="O10" s="2" t="b">
        <f t="shared" si="0"/>
        <v>0</v>
      </c>
      <c r="P10" s="2" t="s">
        <v>78</v>
      </c>
    </row>
    <row r="11" spans="1:16" x14ac:dyDescent="0.2">
      <c r="A11" s="2" t="s">
        <v>66</v>
      </c>
      <c r="B11" t="s">
        <v>74</v>
      </c>
      <c r="C11" t="s">
        <v>75</v>
      </c>
      <c r="D11" s="2">
        <v>5.5327800000000002E-3</v>
      </c>
      <c r="E11" s="2">
        <v>-8.5354999999999997E-3</v>
      </c>
      <c r="F11" s="2">
        <v>2.162588E-2</v>
      </c>
      <c r="G11" s="2">
        <v>-0.39468950000000003</v>
      </c>
      <c r="H11" s="2">
        <v>0.79020422000000001</v>
      </c>
      <c r="I11" s="2">
        <v>2.4717840000000001E-2</v>
      </c>
      <c r="J11" s="2">
        <v>31.968984599999999</v>
      </c>
      <c r="K11" s="2">
        <v>0.15577977000000001</v>
      </c>
      <c r="L11" s="2">
        <v>1</v>
      </c>
      <c r="M11" s="2">
        <v>28</v>
      </c>
      <c r="N11" s="2">
        <v>0.69606257000000005</v>
      </c>
      <c r="O11" s="2" t="b">
        <f t="shared" si="0"/>
        <v>0</v>
      </c>
      <c r="P11" s="2" t="s">
        <v>78</v>
      </c>
    </row>
    <row r="12" spans="1:16" x14ac:dyDescent="0.2">
      <c r="A12" s="2" t="s">
        <v>12</v>
      </c>
      <c r="B12" t="s">
        <v>76</v>
      </c>
      <c r="C12" t="s">
        <v>77</v>
      </c>
      <c r="D12" s="2">
        <v>0.11805860999999999</v>
      </c>
      <c r="E12" s="2">
        <v>5.5258259999999997E-2</v>
      </c>
      <c r="F12" s="2">
        <v>2.71261E-2</v>
      </c>
      <c r="G12" s="2">
        <v>2.0370881600000001</v>
      </c>
      <c r="H12" s="2">
        <v>0.71823861</v>
      </c>
      <c r="I12" s="2">
        <v>3.1528899999999999E-2</v>
      </c>
      <c r="J12" s="2">
        <v>22.780322900000002</v>
      </c>
      <c r="K12" s="2">
        <v>4.1497281700000004</v>
      </c>
      <c r="L12" s="2">
        <v>1</v>
      </c>
      <c r="M12" s="2">
        <v>31</v>
      </c>
      <c r="N12" s="2">
        <v>5.0256599999999998E-2</v>
      </c>
      <c r="O12" s="2" t="b">
        <f t="shared" si="0"/>
        <v>0</v>
      </c>
      <c r="P12" s="2" t="s">
        <v>78</v>
      </c>
    </row>
    <row r="13" spans="1:16" x14ac:dyDescent="0.2">
      <c r="A13" s="2" t="s">
        <v>16</v>
      </c>
      <c r="B13" t="s">
        <v>76</v>
      </c>
      <c r="C13" t="s">
        <v>77</v>
      </c>
      <c r="D13" s="2">
        <v>0.10554303</v>
      </c>
      <c r="E13" s="2">
        <v>6.3539999999999999E-2</v>
      </c>
      <c r="F13" s="2">
        <v>3.4348919999999998E-2</v>
      </c>
      <c r="G13" s="2">
        <v>1.84983951</v>
      </c>
      <c r="H13" s="2">
        <v>0.70331725</v>
      </c>
      <c r="I13" s="2">
        <v>3.8362470000000003E-2</v>
      </c>
      <c r="J13" s="2">
        <v>18.333469699999998</v>
      </c>
      <c r="K13" s="2">
        <v>3.4219062299999998</v>
      </c>
      <c r="L13" s="2">
        <v>1</v>
      </c>
      <c r="M13" s="2">
        <v>29</v>
      </c>
      <c r="N13" s="2">
        <v>7.4551409999999999E-2</v>
      </c>
      <c r="O13" s="2" t="b">
        <f t="shared" si="0"/>
        <v>0</v>
      </c>
      <c r="P13" s="2" t="s">
        <v>78</v>
      </c>
    </row>
    <row r="14" spans="1:16" x14ac:dyDescent="0.2">
      <c r="A14" s="2" t="s">
        <v>29</v>
      </c>
      <c r="B14" t="s">
        <v>76</v>
      </c>
      <c r="C14" t="s">
        <v>77</v>
      </c>
      <c r="D14" s="2">
        <v>3.5375490000000002E-2</v>
      </c>
      <c r="E14" s="2">
        <v>2.9974219999999999E-2</v>
      </c>
      <c r="F14" s="2">
        <v>2.7669470000000002E-2</v>
      </c>
      <c r="G14" s="2">
        <v>1.0832958699999999</v>
      </c>
      <c r="H14" s="2">
        <v>0.74785195999999998</v>
      </c>
      <c r="I14" s="2">
        <v>3.2525430000000001E-2</v>
      </c>
      <c r="J14" s="2">
        <v>22.992836700000002</v>
      </c>
      <c r="K14" s="2">
        <v>1.1735299299999999</v>
      </c>
      <c r="L14" s="2">
        <v>1</v>
      </c>
      <c r="M14" s="2">
        <v>32</v>
      </c>
      <c r="N14" s="2">
        <v>0.28677241999999997</v>
      </c>
      <c r="O14" s="2" t="b">
        <f t="shared" si="0"/>
        <v>0</v>
      </c>
      <c r="P14" s="2" t="s">
        <v>78</v>
      </c>
    </row>
    <row r="15" spans="1:16" x14ac:dyDescent="0.2">
      <c r="A15" s="2" t="s">
        <v>34</v>
      </c>
      <c r="B15" t="s">
        <v>76</v>
      </c>
      <c r="C15" t="s">
        <v>77</v>
      </c>
      <c r="D15" s="2">
        <v>9.6595710000000001E-2</v>
      </c>
      <c r="E15" s="2">
        <v>4.396572E-2</v>
      </c>
      <c r="F15" s="2">
        <v>2.689097E-2</v>
      </c>
      <c r="G15" s="2">
        <v>1.63496266</v>
      </c>
      <c r="H15" s="2">
        <v>0.73351540999999998</v>
      </c>
      <c r="I15" s="2">
        <v>3.0303460000000001E-2</v>
      </c>
      <c r="J15" s="2">
        <v>24.205668500000002</v>
      </c>
      <c r="K15" s="2">
        <v>2.67310289</v>
      </c>
      <c r="L15" s="2">
        <v>1</v>
      </c>
      <c r="M15" s="2">
        <v>25</v>
      </c>
      <c r="N15" s="2">
        <v>0.11458757</v>
      </c>
      <c r="O15" s="2" t="b">
        <f t="shared" si="0"/>
        <v>0</v>
      </c>
      <c r="P15" s="2" t="s">
        <v>78</v>
      </c>
    </row>
    <row r="16" spans="1:16" x14ac:dyDescent="0.2">
      <c r="A16" s="2" t="s">
        <v>42</v>
      </c>
      <c r="B16" t="s">
        <v>76</v>
      </c>
      <c r="C16" t="s">
        <v>77</v>
      </c>
      <c r="D16" s="2">
        <v>8.7295929999999994E-2</v>
      </c>
      <c r="E16" s="2">
        <v>5.8816399999999998E-2</v>
      </c>
      <c r="F16" s="2">
        <v>3.8036140000000003E-2</v>
      </c>
      <c r="G16" s="2">
        <v>1.54632938</v>
      </c>
      <c r="H16" s="2">
        <v>0.70967480999999999</v>
      </c>
      <c r="I16" s="2">
        <v>4.11457E-2</v>
      </c>
      <c r="J16" s="2">
        <v>17.2478497</v>
      </c>
      <c r="K16" s="2">
        <v>2.3911345499999999</v>
      </c>
      <c r="L16" s="2">
        <v>1</v>
      </c>
      <c r="M16" s="2">
        <v>25</v>
      </c>
      <c r="N16" s="2">
        <v>0.13459143000000001</v>
      </c>
      <c r="O16" s="2" t="b">
        <f t="shared" si="0"/>
        <v>0</v>
      </c>
      <c r="P16" s="2" t="s">
        <v>78</v>
      </c>
    </row>
    <row r="17" spans="1:16" x14ac:dyDescent="0.2">
      <c r="A17" s="2" t="s">
        <v>52</v>
      </c>
      <c r="B17" t="s">
        <v>76</v>
      </c>
      <c r="C17" t="s">
        <v>77</v>
      </c>
      <c r="D17" s="2">
        <v>9.3573030000000001E-2</v>
      </c>
      <c r="E17" s="2">
        <v>4.8538119999999997E-2</v>
      </c>
      <c r="F17" s="2">
        <v>2.6705400000000001E-2</v>
      </c>
      <c r="G17" s="2">
        <v>1.8175397499999999</v>
      </c>
      <c r="H17" s="2">
        <v>0.72210149999999995</v>
      </c>
      <c r="I17" s="2">
        <v>3.2137489999999998E-2</v>
      </c>
      <c r="J17" s="2">
        <v>22.469132500000001</v>
      </c>
      <c r="K17" s="2">
        <v>3.3034507299999998</v>
      </c>
      <c r="L17" s="2">
        <v>1</v>
      </c>
      <c r="M17" s="2">
        <v>32</v>
      </c>
      <c r="N17" s="2">
        <v>7.8508880000000003E-2</v>
      </c>
      <c r="O17" s="2" t="b">
        <f t="shared" si="0"/>
        <v>0</v>
      </c>
      <c r="P17" s="2" t="s">
        <v>78</v>
      </c>
    </row>
    <row r="18" spans="1:16" x14ac:dyDescent="0.2">
      <c r="A18" s="2" t="s">
        <v>54</v>
      </c>
      <c r="B18" t="s">
        <v>76</v>
      </c>
      <c r="C18" t="s">
        <v>77</v>
      </c>
      <c r="D18" s="2">
        <v>1.8321E-4</v>
      </c>
      <c r="E18" s="2">
        <v>2.2983700000000001E-3</v>
      </c>
      <c r="F18" s="2">
        <v>3.3957000000000001E-2</v>
      </c>
      <c r="G18" s="2">
        <v>6.7684640000000004E-2</v>
      </c>
      <c r="H18" s="2">
        <v>0.77151716999999997</v>
      </c>
      <c r="I18" s="2">
        <v>3.6972089999999999E-2</v>
      </c>
      <c r="J18" s="2">
        <v>20.867555200000002</v>
      </c>
      <c r="K18" s="2">
        <v>4.5812099999999996E-3</v>
      </c>
      <c r="L18" s="2">
        <v>1</v>
      </c>
      <c r="M18" s="2">
        <v>25</v>
      </c>
      <c r="N18" s="2">
        <v>0.94657511000000005</v>
      </c>
      <c r="O18" s="2" t="b">
        <f t="shared" si="0"/>
        <v>0</v>
      </c>
      <c r="P18" s="2" t="s">
        <v>78</v>
      </c>
    </row>
    <row r="19" spans="1:16" x14ac:dyDescent="0.2">
      <c r="A19" s="2" t="s">
        <v>59</v>
      </c>
      <c r="B19" t="s">
        <v>76</v>
      </c>
      <c r="C19" t="s">
        <v>77</v>
      </c>
      <c r="D19" s="2">
        <v>0.10345176</v>
      </c>
      <c r="E19" s="2">
        <v>6.5686789999999995E-2</v>
      </c>
      <c r="F19" s="2">
        <v>3.7923579999999998E-2</v>
      </c>
      <c r="G19" s="2">
        <v>1.73208333</v>
      </c>
      <c r="H19" s="2">
        <v>0.69440002000000001</v>
      </c>
      <c r="I19" s="2">
        <v>4.1414069999999997E-2</v>
      </c>
      <c r="J19" s="2">
        <v>16.7672481</v>
      </c>
      <c r="K19" s="2">
        <v>3.00011268</v>
      </c>
      <c r="L19" s="2">
        <v>1</v>
      </c>
      <c r="M19" s="2">
        <v>26</v>
      </c>
      <c r="N19" s="2">
        <v>9.5108399999999996E-2</v>
      </c>
      <c r="O19" s="2" t="b">
        <f t="shared" si="0"/>
        <v>0</v>
      </c>
      <c r="P19" s="2" t="s">
        <v>78</v>
      </c>
    </row>
    <row r="20" spans="1:16" x14ac:dyDescent="0.2">
      <c r="A20" s="2" t="s">
        <v>61</v>
      </c>
      <c r="B20" t="s">
        <v>76</v>
      </c>
      <c r="C20" t="s">
        <v>77</v>
      </c>
      <c r="D20" s="2">
        <v>2.337442E-2</v>
      </c>
      <c r="E20" s="2">
        <v>2.4947250000000001E-2</v>
      </c>
      <c r="F20" s="2">
        <v>3.1033760000000001E-2</v>
      </c>
      <c r="G20" s="2">
        <v>0.80387452999999998</v>
      </c>
      <c r="H20" s="2">
        <v>0.74620834999999996</v>
      </c>
      <c r="I20" s="2">
        <v>3.4565720000000001E-2</v>
      </c>
      <c r="J20" s="2">
        <v>21.588101300000002</v>
      </c>
      <c r="K20" s="2">
        <v>0.64621426000000004</v>
      </c>
      <c r="L20" s="2">
        <v>1</v>
      </c>
      <c r="M20" s="2">
        <v>27</v>
      </c>
      <c r="N20" s="2">
        <v>0.42849061999999999</v>
      </c>
      <c r="O20" s="2" t="b">
        <f t="shared" si="0"/>
        <v>0</v>
      </c>
      <c r="P20" s="2" t="s">
        <v>78</v>
      </c>
    </row>
    <row r="21" spans="1:16" x14ac:dyDescent="0.2">
      <c r="A21" s="2" t="s">
        <v>63</v>
      </c>
      <c r="B21" t="s">
        <v>76</v>
      </c>
      <c r="C21" t="s">
        <v>77</v>
      </c>
      <c r="D21" s="2">
        <v>7.2500110000000006E-2</v>
      </c>
      <c r="E21" s="2">
        <v>4.4360499999999997E-2</v>
      </c>
      <c r="F21" s="2">
        <v>2.7211010000000001E-2</v>
      </c>
      <c r="G21" s="2">
        <v>1.63024123</v>
      </c>
      <c r="H21" s="2">
        <v>0.72533970999999997</v>
      </c>
      <c r="I21" s="2">
        <v>3.2630739999999998E-2</v>
      </c>
      <c r="J21" s="2">
        <v>22.228725099999998</v>
      </c>
      <c r="K21" s="2">
        <v>2.6576864699999998</v>
      </c>
      <c r="L21" s="2">
        <v>1</v>
      </c>
      <c r="M21" s="2">
        <v>34</v>
      </c>
      <c r="N21" s="2">
        <v>0.11228136</v>
      </c>
      <c r="O21" s="2" t="b">
        <f t="shared" si="0"/>
        <v>0</v>
      </c>
      <c r="P21" s="2" t="s">
        <v>78</v>
      </c>
    </row>
    <row r="22" spans="1:16" x14ac:dyDescent="0.2">
      <c r="A22" s="2" t="s">
        <v>67</v>
      </c>
      <c r="B22" t="s">
        <v>76</v>
      </c>
      <c r="C22" t="s">
        <v>77</v>
      </c>
      <c r="D22" s="2">
        <v>4.1167259999999997E-2</v>
      </c>
      <c r="E22" s="2">
        <v>3.4159729999999999E-2</v>
      </c>
      <c r="F22" s="2">
        <v>2.9609360000000001E-2</v>
      </c>
      <c r="G22" s="2">
        <v>1.15368004</v>
      </c>
      <c r="H22" s="2">
        <v>0.73413768999999995</v>
      </c>
      <c r="I22" s="2">
        <v>3.4073230000000003E-2</v>
      </c>
      <c r="J22" s="2">
        <v>21.545879299999999</v>
      </c>
      <c r="K22" s="2">
        <v>1.33097763</v>
      </c>
      <c r="L22" s="2">
        <v>1</v>
      </c>
      <c r="M22" s="2">
        <v>31</v>
      </c>
      <c r="N22" s="2">
        <v>0.25744884000000001</v>
      </c>
      <c r="O22" s="2" t="b">
        <f t="shared" si="0"/>
        <v>0</v>
      </c>
      <c r="P22" s="2" t="s">
        <v>78</v>
      </c>
    </row>
    <row r="23" spans="1:16" s="7" customFormat="1" x14ac:dyDescent="0.2">
      <c r="A23" s="8" t="s">
        <v>17</v>
      </c>
      <c r="B23" s="7" t="s">
        <v>78</v>
      </c>
      <c r="C23" s="7" t="s">
        <v>79</v>
      </c>
      <c r="D23" s="8">
        <v>0.25339075999999999</v>
      </c>
      <c r="E23" s="8">
        <v>8.4492800000000007E-2</v>
      </c>
      <c r="F23" s="8">
        <v>2.487319E-2</v>
      </c>
      <c r="G23" s="8">
        <v>3.3969422200000001</v>
      </c>
      <c r="H23" s="8">
        <v>0.67982123999999999</v>
      </c>
      <c r="I23" s="8">
        <v>3.0745249999999998E-2</v>
      </c>
      <c r="J23" s="8">
        <v>22.111424199999998</v>
      </c>
      <c r="K23" s="8">
        <v>11.5392165</v>
      </c>
      <c r="L23" s="8">
        <v>1</v>
      </c>
      <c r="M23" s="8">
        <v>34</v>
      </c>
      <c r="N23" s="8">
        <v>1.7510200000000001E-3</v>
      </c>
      <c r="O23" s="8" t="b">
        <f t="shared" si="0"/>
        <v>1</v>
      </c>
      <c r="P23" s="8" t="s">
        <v>78</v>
      </c>
    </row>
    <row r="24" spans="1:16" s="7" customFormat="1" x14ac:dyDescent="0.2">
      <c r="A24" s="8" t="s">
        <v>21</v>
      </c>
      <c r="B24" s="7" t="s">
        <v>78</v>
      </c>
      <c r="C24" s="7" t="s">
        <v>79</v>
      </c>
      <c r="D24" s="8">
        <v>0.33900111999999999</v>
      </c>
      <c r="E24" s="8">
        <v>0.1008146</v>
      </c>
      <c r="F24" s="8">
        <v>2.450565E-2</v>
      </c>
      <c r="G24" s="8">
        <v>4.1139326399999998</v>
      </c>
      <c r="H24" s="8">
        <v>0.66455337999999997</v>
      </c>
      <c r="I24" s="8">
        <v>3.009421E-2</v>
      </c>
      <c r="J24" s="8">
        <v>22.0824353</v>
      </c>
      <c r="K24" s="8">
        <v>16.9244418</v>
      </c>
      <c r="L24" s="8">
        <v>1</v>
      </c>
      <c r="M24" s="8">
        <v>33</v>
      </c>
      <c r="N24" s="8">
        <v>2.4321E-4</v>
      </c>
      <c r="O24" s="8" t="b">
        <f t="shared" si="0"/>
        <v>1</v>
      </c>
      <c r="P24" s="8" t="s">
        <v>78</v>
      </c>
    </row>
    <row r="25" spans="1:16" s="7" customFormat="1" x14ac:dyDescent="0.2">
      <c r="A25" s="8" t="s">
        <v>23</v>
      </c>
      <c r="B25" s="7" t="s">
        <v>78</v>
      </c>
      <c r="C25" s="7" t="s">
        <v>79</v>
      </c>
      <c r="D25" s="8">
        <v>0.33114875999999999</v>
      </c>
      <c r="E25" s="8">
        <v>0.10457574</v>
      </c>
      <c r="F25" s="8">
        <v>2.627297E-2</v>
      </c>
      <c r="G25" s="8">
        <v>3.9803548499999999</v>
      </c>
      <c r="H25" s="8">
        <v>0.65750231999999997</v>
      </c>
      <c r="I25" s="8">
        <v>3.1959519999999998E-2</v>
      </c>
      <c r="J25" s="8">
        <v>20.5729708</v>
      </c>
      <c r="K25" s="8">
        <v>15.8432247</v>
      </c>
      <c r="L25" s="8">
        <v>1</v>
      </c>
      <c r="M25" s="8">
        <v>32</v>
      </c>
      <c r="N25" s="8">
        <v>3.701E-4</v>
      </c>
      <c r="O25" s="8" t="b">
        <f t="shared" si="0"/>
        <v>1</v>
      </c>
      <c r="P25" s="8" t="s">
        <v>78</v>
      </c>
    </row>
    <row r="26" spans="1:16" s="7" customFormat="1" x14ac:dyDescent="0.2">
      <c r="A26" s="8" t="s">
        <v>27</v>
      </c>
      <c r="B26" s="7" t="s">
        <v>78</v>
      </c>
      <c r="C26" s="7" t="s">
        <v>79</v>
      </c>
      <c r="D26" s="8">
        <v>0.27007620999999998</v>
      </c>
      <c r="E26" s="8">
        <v>8.3688600000000002E-2</v>
      </c>
      <c r="F26" s="8">
        <v>2.3595129999999999E-2</v>
      </c>
      <c r="G26" s="8">
        <v>3.54685849</v>
      </c>
      <c r="H26" s="8">
        <v>0.67617183000000003</v>
      </c>
      <c r="I26" s="8">
        <v>2.8948419999999999E-2</v>
      </c>
      <c r="J26" s="8">
        <v>23.3578188</v>
      </c>
      <c r="K26" s="8">
        <v>12.5802052</v>
      </c>
      <c r="L26" s="8">
        <v>1</v>
      </c>
      <c r="M26" s="8">
        <v>34</v>
      </c>
      <c r="N26" s="8">
        <v>1.16087E-3</v>
      </c>
      <c r="O26" s="8" t="b">
        <f t="shared" si="0"/>
        <v>1</v>
      </c>
      <c r="P26" s="8" t="s">
        <v>78</v>
      </c>
    </row>
    <row r="27" spans="1:16" s="7" customFormat="1" x14ac:dyDescent="0.2">
      <c r="A27" s="8" t="s">
        <v>33</v>
      </c>
      <c r="B27" s="7" t="s">
        <v>78</v>
      </c>
      <c r="C27" s="7" t="s">
        <v>79</v>
      </c>
      <c r="D27" s="8">
        <v>0.34613303000000001</v>
      </c>
      <c r="E27" s="8">
        <v>9.80737E-2</v>
      </c>
      <c r="F27" s="8">
        <v>2.4210010000000001E-2</v>
      </c>
      <c r="G27" s="8">
        <v>4.0509573200000002</v>
      </c>
      <c r="H27" s="8">
        <v>0.67084690000000002</v>
      </c>
      <c r="I27" s="8">
        <v>2.9431189999999999E-2</v>
      </c>
      <c r="J27" s="8">
        <v>22.7937391</v>
      </c>
      <c r="K27" s="8">
        <v>16.410255200000002</v>
      </c>
      <c r="L27" s="8">
        <v>1</v>
      </c>
      <c r="M27" s="8">
        <v>31</v>
      </c>
      <c r="N27" s="8">
        <v>3.1699000000000001E-4</v>
      </c>
      <c r="O27" s="8" t="b">
        <f t="shared" si="0"/>
        <v>1</v>
      </c>
      <c r="P27" s="8" t="s">
        <v>78</v>
      </c>
    </row>
    <row r="28" spans="1:16" s="7" customFormat="1" x14ac:dyDescent="0.2">
      <c r="A28" s="8" t="s">
        <v>40</v>
      </c>
      <c r="B28" s="7" t="s">
        <v>78</v>
      </c>
      <c r="C28" s="7" t="s">
        <v>79</v>
      </c>
      <c r="D28" s="8">
        <v>0.30237816000000001</v>
      </c>
      <c r="E28" s="8">
        <v>9.0641910000000006E-2</v>
      </c>
      <c r="F28" s="8">
        <v>2.361154E-2</v>
      </c>
      <c r="G28" s="8">
        <v>3.83888089</v>
      </c>
      <c r="H28" s="8">
        <v>0.66997119999999999</v>
      </c>
      <c r="I28" s="8">
        <v>2.9460650000000001E-2</v>
      </c>
      <c r="J28" s="8">
        <v>22.7412192</v>
      </c>
      <c r="K28" s="8">
        <v>14.7370065</v>
      </c>
      <c r="L28" s="8">
        <v>1</v>
      </c>
      <c r="M28" s="8">
        <v>34</v>
      </c>
      <c r="N28" s="8">
        <v>5.1258E-4</v>
      </c>
      <c r="O28" s="8" t="b">
        <f t="shared" si="0"/>
        <v>1</v>
      </c>
      <c r="P28" s="8" t="s">
        <v>78</v>
      </c>
    </row>
    <row r="29" spans="1:16" s="7" customFormat="1" x14ac:dyDescent="0.2">
      <c r="A29" s="8" t="s">
        <v>41</v>
      </c>
      <c r="B29" s="7" t="s">
        <v>78</v>
      </c>
      <c r="C29" s="7" t="s">
        <v>79</v>
      </c>
      <c r="D29" s="8">
        <v>0.33830173000000002</v>
      </c>
      <c r="E29" s="8">
        <v>0.10526986000000001</v>
      </c>
      <c r="F29" s="8">
        <v>2.644241E-2</v>
      </c>
      <c r="G29" s="8">
        <v>3.98109885</v>
      </c>
      <c r="H29" s="8">
        <v>0.66272251999999998</v>
      </c>
      <c r="I29" s="8">
        <v>3.1418950000000001E-2</v>
      </c>
      <c r="J29" s="8">
        <v>21.093083100000001</v>
      </c>
      <c r="K29" s="8">
        <v>15.849148100000001</v>
      </c>
      <c r="L29" s="8">
        <v>1</v>
      </c>
      <c r="M29" s="8">
        <v>31</v>
      </c>
      <c r="N29" s="8">
        <v>3.8499999999999998E-4</v>
      </c>
      <c r="O29" s="8" t="b">
        <f t="shared" si="0"/>
        <v>1</v>
      </c>
      <c r="P29" s="8" t="s">
        <v>78</v>
      </c>
    </row>
    <row r="30" spans="1:16" s="7" customFormat="1" x14ac:dyDescent="0.2">
      <c r="A30" s="8" t="s">
        <v>50</v>
      </c>
      <c r="B30" s="7" t="s">
        <v>78</v>
      </c>
      <c r="C30" s="7" t="s">
        <v>79</v>
      </c>
      <c r="D30" s="8">
        <v>0.31487777</v>
      </c>
      <c r="E30" s="8">
        <v>9.0792429999999993E-2</v>
      </c>
      <c r="F30" s="8">
        <v>2.3674870000000001E-2</v>
      </c>
      <c r="G30" s="8">
        <v>3.8349699400000001</v>
      </c>
      <c r="H30" s="8">
        <v>0.67717017999999995</v>
      </c>
      <c r="I30" s="8">
        <v>2.8885600000000001E-2</v>
      </c>
      <c r="J30" s="8">
        <v>23.4431777</v>
      </c>
      <c r="K30" s="8">
        <v>14.706994399999999</v>
      </c>
      <c r="L30" s="8">
        <v>1</v>
      </c>
      <c r="M30" s="8">
        <v>32</v>
      </c>
      <c r="N30" s="8">
        <v>5.5551999999999999E-4</v>
      </c>
      <c r="O30" s="8" t="b">
        <f t="shared" si="0"/>
        <v>1</v>
      </c>
      <c r="P30" s="8" t="s">
        <v>78</v>
      </c>
    </row>
    <row r="31" spans="1:16" s="7" customFormat="1" x14ac:dyDescent="0.2">
      <c r="A31" s="8" t="s">
        <v>56</v>
      </c>
      <c r="B31" s="7" t="s">
        <v>78</v>
      </c>
      <c r="C31" s="7" t="s">
        <v>79</v>
      </c>
      <c r="D31" s="8">
        <v>0.26284273000000002</v>
      </c>
      <c r="E31" s="8">
        <v>8.1314860000000003E-2</v>
      </c>
      <c r="F31" s="8">
        <v>2.3705279999999999E-2</v>
      </c>
      <c r="G31" s="8">
        <v>3.4302429499999998</v>
      </c>
      <c r="H31" s="8">
        <v>0.68288972999999997</v>
      </c>
      <c r="I31" s="8">
        <v>2.9324329999999999E-2</v>
      </c>
      <c r="J31" s="8">
        <v>23.287481199999998</v>
      </c>
      <c r="K31" s="8">
        <v>11.7665667</v>
      </c>
      <c r="L31" s="8">
        <v>1</v>
      </c>
      <c r="M31" s="8">
        <v>33</v>
      </c>
      <c r="N31" s="8">
        <v>1.6384399999999999E-3</v>
      </c>
      <c r="O31" s="8" t="b">
        <f t="shared" si="0"/>
        <v>1</v>
      </c>
      <c r="P31" s="8" t="s">
        <v>78</v>
      </c>
    </row>
    <row r="32" spans="1:16" s="7" customFormat="1" x14ac:dyDescent="0.2">
      <c r="A32" s="8" t="s">
        <v>64</v>
      </c>
      <c r="B32" s="7" t="s">
        <v>78</v>
      </c>
      <c r="C32" s="7" t="s">
        <v>79</v>
      </c>
      <c r="D32" s="8">
        <v>0.31313672999999997</v>
      </c>
      <c r="E32" s="8">
        <v>9.2415490000000003E-2</v>
      </c>
      <c r="F32" s="8">
        <v>2.3473259999999999E-2</v>
      </c>
      <c r="G32" s="8">
        <v>3.93705353</v>
      </c>
      <c r="H32" s="8">
        <v>0.66966930000000002</v>
      </c>
      <c r="I32" s="8">
        <v>2.9126289999999999E-2</v>
      </c>
      <c r="J32" s="8">
        <v>22.99192</v>
      </c>
      <c r="K32" s="8">
        <v>15.5003905</v>
      </c>
      <c r="L32" s="8">
        <v>1</v>
      </c>
      <c r="M32" s="8">
        <v>34</v>
      </c>
      <c r="N32" s="8">
        <v>3.8769999999999999E-4</v>
      </c>
      <c r="O32" s="8" t="b">
        <f t="shared" si="0"/>
        <v>1</v>
      </c>
      <c r="P32" s="8" t="s">
        <v>78</v>
      </c>
    </row>
    <row r="33" spans="1:16" s="7" customFormat="1" x14ac:dyDescent="0.2">
      <c r="A33" s="8" t="s">
        <v>13</v>
      </c>
      <c r="B33" s="7" t="s">
        <v>78</v>
      </c>
      <c r="C33" s="7" t="s">
        <v>80</v>
      </c>
      <c r="D33" s="8">
        <v>0.36757337000000001</v>
      </c>
      <c r="E33" s="8">
        <v>0.11816747</v>
      </c>
      <c r="F33" s="8">
        <v>2.658224E-2</v>
      </c>
      <c r="G33" s="8">
        <v>4.4453545800000001</v>
      </c>
      <c r="H33" s="8">
        <v>0.631324</v>
      </c>
      <c r="I33" s="8">
        <v>3.253785E-2</v>
      </c>
      <c r="J33" s="8">
        <v>19.402754600000002</v>
      </c>
      <c r="K33" s="8">
        <v>19.761177400000001</v>
      </c>
      <c r="L33" s="8">
        <v>1</v>
      </c>
      <c r="M33" s="8">
        <v>34</v>
      </c>
      <c r="N33" s="9">
        <v>8.8900000000000006E-5</v>
      </c>
      <c r="O33" s="8" t="b">
        <f t="shared" si="0"/>
        <v>1</v>
      </c>
      <c r="P33" s="8" t="s">
        <v>78</v>
      </c>
    </row>
    <row r="34" spans="1:16" s="7" customFormat="1" x14ac:dyDescent="0.2">
      <c r="A34" s="8" t="s">
        <v>20</v>
      </c>
      <c r="B34" s="7" t="s">
        <v>78</v>
      </c>
      <c r="C34" s="7" t="s">
        <v>80</v>
      </c>
      <c r="D34" s="8">
        <v>0.3742665</v>
      </c>
      <c r="E34" s="8">
        <v>0.11467139</v>
      </c>
      <c r="F34" s="8">
        <v>2.5428449999999998E-2</v>
      </c>
      <c r="G34" s="8">
        <v>4.5095710100000002</v>
      </c>
      <c r="H34" s="8">
        <v>0.64527124000000002</v>
      </c>
      <c r="I34" s="8">
        <v>3.08341E-2</v>
      </c>
      <c r="J34" s="8">
        <v>20.927194499999999</v>
      </c>
      <c r="K34" s="8">
        <v>20.336230700000002</v>
      </c>
      <c r="L34" s="8">
        <v>1</v>
      </c>
      <c r="M34" s="8">
        <v>34</v>
      </c>
      <c r="N34" s="9">
        <v>7.36E-5</v>
      </c>
      <c r="O34" s="8" t="b">
        <f t="shared" si="0"/>
        <v>1</v>
      </c>
      <c r="P34" s="8" t="s">
        <v>78</v>
      </c>
    </row>
    <row r="35" spans="1:16" s="7" customFormat="1" x14ac:dyDescent="0.2">
      <c r="A35" s="8" t="s">
        <v>26</v>
      </c>
      <c r="B35" s="7" t="s">
        <v>78</v>
      </c>
      <c r="C35" s="7" t="s">
        <v>80</v>
      </c>
      <c r="D35" s="8">
        <v>0.25591361000000001</v>
      </c>
      <c r="E35" s="8">
        <v>7.7556559999999997E-2</v>
      </c>
      <c r="F35" s="8">
        <v>2.2353700000000001E-2</v>
      </c>
      <c r="G35" s="8">
        <v>3.4695170900000001</v>
      </c>
      <c r="H35" s="8">
        <v>0.67872482000000001</v>
      </c>
      <c r="I35" s="8">
        <v>2.7540519999999999E-2</v>
      </c>
      <c r="J35" s="8">
        <v>24.644592899999999</v>
      </c>
      <c r="K35" s="8">
        <v>12.0375488</v>
      </c>
      <c r="L35" s="8">
        <v>1</v>
      </c>
      <c r="M35" s="8">
        <v>35</v>
      </c>
      <c r="N35" s="8">
        <v>1.4022399999999999E-3</v>
      </c>
      <c r="O35" s="8" t="b">
        <f t="shared" si="0"/>
        <v>1</v>
      </c>
      <c r="P35" s="8" t="s">
        <v>78</v>
      </c>
    </row>
    <row r="36" spans="1:16" s="7" customFormat="1" x14ac:dyDescent="0.2">
      <c r="A36" s="8" t="s">
        <v>30</v>
      </c>
      <c r="B36" s="7" t="s">
        <v>78</v>
      </c>
      <c r="C36" s="7" t="s">
        <v>80</v>
      </c>
      <c r="D36" s="8">
        <v>0.33453300000000002</v>
      </c>
      <c r="E36" s="8">
        <v>0.12970032000000001</v>
      </c>
      <c r="F36" s="8">
        <v>3.1372230000000001E-2</v>
      </c>
      <c r="G36" s="8">
        <v>4.1342399600000004</v>
      </c>
      <c r="H36" s="8">
        <v>0.61210472999999999</v>
      </c>
      <c r="I36" s="8">
        <v>3.804457E-2</v>
      </c>
      <c r="J36" s="8">
        <v>16.089147799999999</v>
      </c>
      <c r="K36" s="8">
        <v>17.091940000000001</v>
      </c>
      <c r="L36" s="8">
        <v>1</v>
      </c>
      <c r="M36" s="8">
        <v>34</v>
      </c>
      <c r="N36" s="8">
        <v>2.2002999999999999E-4</v>
      </c>
      <c r="O36" s="8" t="b">
        <f t="shared" si="0"/>
        <v>1</v>
      </c>
      <c r="P36" s="8" t="s">
        <v>78</v>
      </c>
    </row>
    <row r="37" spans="1:16" s="7" customFormat="1" x14ac:dyDescent="0.2">
      <c r="A37" s="8" t="s">
        <v>31</v>
      </c>
      <c r="B37" s="7" t="s">
        <v>78</v>
      </c>
      <c r="C37" s="7" t="s">
        <v>80</v>
      </c>
      <c r="D37" s="8">
        <v>0.36287509000000001</v>
      </c>
      <c r="E37" s="8">
        <v>0.10693078</v>
      </c>
      <c r="F37" s="8">
        <v>2.4299479999999998E-2</v>
      </c>
      <c r="G37" s="8">
        <v>4.40053771</v>
      </c>
      <c r="H37" s="8">
        <v>0.64925007000000001</v>
      </c>
      <c r="I37" s="8">
        <v>2.9472020000000002E-2</v>
      </c>
      <c r="J37" s="8">
        <v>22.029372599999999</v>
      </c>
      <c r="K37" s="8">
        <v>19.364732100000001</v>
      </c>
      <c r="L37" s="8">
        <v>1</v>
      </c>
      <c r="M37" s="8">
        <v>34</v>
      </c>
      <c r="N37" s="8">
        <v>1.0134E-4</v>
      </c>
      <c r="O37" s="8" t="b">
        <f t="shared" si="0"/>
        <v>1</v>
      </c>
      <c r="P37" s="8" t="s">
        <v>78</v>
      </c>
    </row>
    <row r="38" spans="1:16" s="7" customFormat="1" x14ac:dyDescent="0.2">
      <c r="A38" s="8" t="s">
        <v>35</v>
      </c>
      <c r="B38" s="7" t="s">
        <v>78</v>
      </c>
      <c r="C38" s="7" t="s">
        <v>80</v>
      </c>
      <c r="D38" s="8">
        <v>0.32998509999999998</v>
      </c>
      <c r="E38" s="8">
        <v>0.10385284</v>
      </c>
      <c r="F38" s="8">
        <v>2.5378970000000001E-2</v>
      </c>
      <c r="G38" s="8">
        <v>4.0920826300000002</v>
      </c>
      <c r="H38" s="8">
        <v>0.65293687</v>
      </c>
      <c r="I38" s="8">
        <v>3.0842609999999999E-2</v>
      </c>
      <c r="J38" s="8">
        <v>21.1699591</v>
      </c>
      <c r="K38" s="8">
        <v>16.745140299999999</v>
      </c>
      <c r="L38" s="8">
        <v>1</v>
      </c>
      <c r="M38" s="8">
        <v>34</v>
      </c>
      <c r="N38" s="8">
        <v>2.4850000000000002E-4</v>
      </c>
      <c r="O38" s="8" t="b">
        <f t="shared" si="0"/>
        <v>1</v>
      </c>
      <c r="P38" s="8" t="s">
        <v>78</v>
      </c>
    </row>
    <row r="39" spans="1:16" s="7" customFormat="1" x14ac:dyDescent="0.2">
      <c r="A39" s="8" t="s">
        <v>38</v>
      </c>
      <c r="B39" s="7" t="s">
        <v>78</v>
      </c>
      <c r="C39" s="7" t="s">
        <v>80</v>
      </c>
      <c r="D39" s="8">
        <v>0.32681977000000001</v>
      </c>
      <c r="E39" s="8">
        <v>0.11108683</v>
      </c>
      <c r="F39" s="8">
        <v>2.6571910000000001E-2</v>
      </c>
      <c r="G39" s="8">
        <v>4.1806107900000002</v>
      </c>
      <c r="H39" s="8">
        <v>0.63828569999999996</v>
      </c>
      <c r="I39" s="8">
        <v>3.30113E-2</v>
      </c>
      <c r="J39" s="8">
        <v>19.335367300000001</v>
      </c>
      <c r="K39" s="8">
        <v>17.477506600000002</v>
      </c>
      <c r="L39" s="8">
        <v>1</v>
      </c>
      <c r="M39" s="8">
        <v>36</v>
      </c>
      <c r="N39" s="8">
        <v>1.7738000000000001E-4</v>
      </c>
      <c r="O39" s="8" t="b">
        <f t="shared" si="0"/>
        <v>1</v>
      </c>
      <c r="P39" s="8" t="s">
        <v>78</v>
      </c>
    </row>
    <row r="40" spans="1:16" s="7" customFormat="1" x14ac:dyDescent="0.2">
      <c r="A40" s="8" t="s">
        <v>43</v>
      </c>
      <c r="B40" s="7" t="s">
        <v>78</v>
      </c>
      <c r="C40" s="7" t="s">
        <v>80</v>
      </c>
      <c r="D40" s="8">
        <v>0.37728229000000002</v>
      </c>
      <c r="E40" s="8">
        <v>0.11038012</v>
      </c>
      <c r="F40" s="8">
        <v>2.432001E-2</v>
      </c>
      <c r="G40" s="8">
        <v>4.5386537899999997</v>
      </c>
      <c r="H40" s="8">
        <v>0.64226042999999999</v>
      </c>
      <c r="I40" s="8">
        <v>2.9585790000000001E-2</v>
      </c>
      <c r="J40" s="8">
        <v>21.708405500000001</v>
      </c>
      <c r="K40" s="8">
        <v>20.599378300000001</v>
      </c>
      <c r="L40" s="8">
        <v>1</v>
      </c>
      <c r="M40" s="8">
        <v>34</v>
      </c>
      <c r="N40" s="9">
        <v>6.7500000000000001E-5</v>
      </c>
      <c r="O40" s="8" t="b">
        <f t="shared" si="0"/>
        <v>1</v>
      </c>
      <c r="P40" s="8" t="s">
        <v>78</v>
      </c>
    </row>
    <row r="41" spans="1:16" s="7" customFormat="1" x14ac:dyDescent="0.2">
      <c r="A41" s="8" t="s">
        <v>71</v>
      </c>
      <c r="B41" s="7" t="s">
        <v>78</v>
      </c>
      <c r="C41" s="7" t="s">
        <v>80</v>
      </c>
      <c r="D41" s="8">
        <v>0.29514435</v>
      </c>
      <c r="E41" s="8">
        <v>9.7608650000000005E-2</v>
      </c>
      <c r="F41" s="8">
        <v>2.5869119999999999E-2</v>
      </c>
      <c r="G41" s="8">
        <v>3.7731720200000001</v>
      </c>
      <c r="H41" s="8">
        <v>0.65863263999999999</v>
      </c>
      <c r="I41" s="8">
        <v>3.1646670000000002E-2</v>
      </c>
      <c r="J41" s="8">
        <v>20.812067599999999</v>
      </c>
      <c r="K41" s="8">
        <v>14.236827099999999</v>
      </c>
      <c r="L41" s="8">
        <v>1</v>
      </c>
      <c r="M41" s="8">
        <v>34</v>
      </c>
      <c r="N41" s="8">
        <v>6.1718000000000005E-4</v>
      </c>
      <c r="O41" s="8" t="b">
        <f t="shared" si="0"/>
        <v>1</v>
      </c>
      <c r="P41" s="8" t="s">
        <v>78</v>
      </c>
    </row>
    <row r="42" spans="1:16" s="7" customFormat="1" x14ac:dyDescent="0.2">
      <c r="A42" s="8" t="s">
        <v>14</v>
      </c>
      <c r="B42" s="7" t="s">
        <v>78</v>
      </c>
      <c r="C42" s="7" t="s">
        <v>81</v>
      </c>
      <c r="D42" s="8">
        <v>0.24366689</v>
      </c>
      <c r="E42" s="8">
        <v>9.6891370000000004E-2</v>
      </c>
      <c r="F42" s="8">
        <v>2.9715729999999999E-2</v>
      </c>
      <c r="G42" s="8">
        <v>3.2606085999999999</v>
      </c>
      <c r="H42" s="8">
        <v>0.65970322999999997</v>
      </c>
      <c r="I42" s="8">
        <v>3.628149E-2</v>
      </c>
      <c r="J42" s="8">
        <v>18.182913299999999</v>
      </c>
      <c r="K42" s="8">
        <v>10.631568400000001</v>
      </c>
      <c r="L42" s="8">
        <v>1</v>
      </c>
      <c r="M42" s="8">
        <v>33</v>
      </c>
      <c r="N42" s="8">
        <v>2.5832099999999998E-3</v>
      </c>
      <c r="O42" s="8" t="b">
        <f t="shared" si="0"/>
        <v>1</v>
      </c>
      <c r="P42" s="8" t="s">
        <v>78</v>
      </c>
    </row>
    <row r="43" spans="1:16" s="7" customFormat="1" x14ac:dyDescent="0.2">
      <c r="A43" s="8" t="s">
        <v>22</v>
      </c>
      <c r="B43" s="7" t="s">
        <v>78</v>
      </c>
      <c r="C43" s="7" t="s">
        <v>81</v>
      </c>
      <c r="D43" s="8">
        <v>0.20506199</v>
      </c>
      <c r="E43" s="8">
        <v>8.0524380000000007E-2</v>
      </c>
      <c r="F43" s="8">
        <v>2.759907E-2</v>
      </c>
      <c r="G43" s="8">
        <v>2.9176481999999999</v>
      </c>
      <c r="H43" s="8">
        <v>0.68279798999999997</v>
      </c>
      <c r="I43" s="8">
        <v>3.380035E-2</v>
      </c>
      <c r="J43" s="8">
        <v>20.200916800000002</v>
      </c>
      <c r="K43" s="8">
        <v>8.51267101</v>
      </c>
      <c r="L43" s="8">
        <v>1</v>
      </c>
      <c r="M43" s="8">
        <v>33</v>
      </c>
      <c r="N43" s="8">
        <v>6.3031199999999997E-3</v>
      </c>
      <c r="O43" s="8" t="b">
        <f t="shared" si="0"/>
        <v>1</v>
      </c>
      <c r="P43" s="8" t="s">
        <v>78</v>
      </c>
    </row>
    <row r="44" spans="1:16" s="7" customFormat="1" x14ac:dyDescent="0.2">
      <c r="A44" s="8" t="s">
        <v>24</v>
      </c>
      <c r="B44" s="7" t="s">
        <v>78</v>
      </c>
      <c r="C44" s="7" t="s">
        <v>81</v>
      </c>
      <c r="D44" s="8">
        <v>0.28273556999999999</v>
      </c>
      <c r="E44" s="8">
        <v>9.5588300000000001E-2</v>
      </c>
      <c r="F44" s="8">
        <v>2.5734759999999999E-2</v>
      </c>
      <c r="G44" s="8">
        <v>3.7143651900000001</v>
      </c>
      <c r="H44" s="8">
        <v>0.66166457999999995</v>
      </c>
      <c r="I44" s="8">
        <v>3.185959E-2</v>
      </c>
      <c r="J44" s="8">
        <v>20.7681456</v>
      </c>
      <c r="K44" s="8">
        <v>13.7965088</v>
      </c>
      <c r="L44" s="8">
        <v>1</v>
      </c>
      <c r="M44" s="8">
        <v>35</v>
      </c>
      <c r="N44" s="8">
        <v>7.0708999999999995E-4</v>
      </c>
      <c r="O44" s="8" t="b">
        <f t="shared" si="0"/>
        <v>1</v>
      </c>
      <c r="P44" s="8" t="s">
        <v>78</v>
      </c>
    </row>
    <row r="45" spans="1:16" s="7" customFormat="1" x14ac:dyDescent="0.2">
      <c r="A45" s="8" t="s">
        <v>25</v>
      </c>
      <c r="B45" s="7" t="s">
        <v>78</v>
      </c>
      <c r="C45" s="7" t="s">
        <v>81</v>
      </c>
      <c r="D45" s="8">
        <v>0.23232315000000001</v>
      </c>
      <c r="E45" s="8">
        <v>7.7330960000000004E-2</v>
      </c>
      <c r="F45" s="8">
        <v>2.4470309999999999E-2</v>
      </c>
      <c r="G45" s="8">
        <v>3.1601958200000002</v>
      </c>
      <c r="H45" s="8">
        <v>0.68638593999999997</v>
      </c>
      <c r="I45" s="8">
        <v>2.977877E-2</v>
      </c>
      <c r="J45" s="8">
        <v>23.049505700000001</v>
      </c>
      <c r="K45" s="8">
        <v>9.9868376300000001</v>
      </c>
      <c r="L45" s="8">
        <v>1</v>
      </c>
      <c r="M45" s="8">
        <v>33</v>
      </c>
      <c r="N45" s="8">
        <v>3.36813E-3</v>
      </c>
      <c r="O45" s="8" t="b">
        <f t="shared" si="0"/>
        <v>1</v>
      </c>
      <c r="P45" s="8" t="s">
        <v>78</v>
      </c>
    </row>
    <row r="46" spans="1:16" s="7" customFormat="1" x14ac:dyDescent="0.2">
      <c r="A46" s="8" t="s">
        <v>28</v>
      </c>
      <c r="B46" s="7" t="s">
        <v>78</v>
      </c>
      <c r="C46" s="7" t="s">
        <v>81</v>
      </c>
      <c r="D46" s="8">
        <v>0.28305757999999998</v>
      </c>
      <c r="E46" s="8">
        <v>9.1720330000000003E-2</v>
      </c>
      <c r="F46" s="8">
        <v>2.5804489999999999E-2</v>
      </c>
      <c r="G46" s="8">
        <v>3.5544323000000002</v>
      </c>
      <c r="H46" s="8">
        <v>0.67307693000000002</v>
      </c>
      <c r="I46" s="8">
        <v>3.114668E-2</v>
      </c>
      <c r="J46" s="8">
        <v>21.609906899999999</v>
      </c>
      <c r="K46" s="8">
        <v>12.633989</v>
      </c>
      <c r="L46" s="8">
        <v>1</v>
      </c>
      <c r="M46" s="8">
        <v>32</v>
      </c>
      <c r="N46" s="8">
        <v>1.20162E-3</v>
      </c>
      <c r="O46" s="8" t="b">
        <f t="shared" si="0"/>
        <v>1</v>
      </c>
      <c r="P46" s="8" t="s">
        <v>78</v>
      </c>
    </row>
    <row r="47" spans="1:16" x14ac:dyDescent="0.2">
      <c r="A47" s="2" t="s">
        <v>44</v>
      </c>
      <c r="B47" t="s">
        <v>78</v>
      </c>
      <c r="C47" t="s">
        <v>81</v>
      </c>
      <c r="D47" s="2">
        <v>0.17541672999999999</v>
      </c>
      <c r="E47" s="2">
        <v>8.4787089999999996E-2</v>
      </c>
      <c r="F47" s="2">
        <v>3.1526230000000002E-2</v>
      </c>
      <c r="G47" s="2">
        <v>2.6894142900000002</v>
      </c>
      <c r="H47" s="2">
        <v>0.66558072999999995</v>
      </c>
      <c r="I47" s="2">
        <v>3.8696050000000003E-2</v>
      </c>
      <c r="J47" s="2">
        <v>17.200223600000001</v>
      </c>
      <c r="K47" s="2">
        <v>7.2329492499999999</v>
      </c>
      <c r="L47" s="2">
        <v>1</v>
      </c>
      <c r="M47" s="2">
        <v>34</v>
      </c>
      <c r="N47" s="2">
        <v>1.1010310000000001E-2</v>
      </c>
      <c r="O47" s="2" t="b">
        <f t="shared" si="0"/>
        <v>0</v>
      </c>
      <c r="P47" s="2" t="s">
        <v>78</v>
      </c>
    </row>
    <row r="48" spans="1:16" x14ac:dyDescent="0.2">
      <c r="A48" s="2" t="s">
        <v>51</v>
      </c>
      <c r="B48" t="s">
        <v>78</v>
      </c>
      <c r="C48" t="s">
        <v>81</v>
      </c>
      <c r="D48" s="2">
        <v>0.18301882</v>
      </c>
      <c r="E48" s="2">
        <v>9.2862440000000004E-2</v>
      </c>
      <c r="F48" s="2">
        <v>3.415398E-2</v>
      </c>
      <c r="G48" s="2">
        <v>2.71893494</v>
      </c>
      <c r="H48" s="2">
        <v>0.65476160000000005</v>
      </c>
      <c r="I48" s="2">
        <v>4.1550530000000002E-2</v>
      </c>
      <c r="J48" s="2">
        <v>15.7582027</v>
      </c>
      <c r="K48" s="2">
        <v>7.3926071899999997</v>
      </c>
      <c r="L48" s="2">
        <v>1</v>
      </c>
      <c r="M48" s="2">
        <v>33</v>
      </c>
      <c r="N48" s="2">
        <v>1.035953E-2</v>
      </c>
      <c r="O48" s="2" t="b">
        <f t="shared" si="0"/>
        <v>0</v>
      </c>
      <c r="P48" s="2" t="s">
        <v>78</v>
      </c>
    </row>
    <row r="49" spans="1:16" x14ac:dyDescent="0.2">
      <c r="A49" s="2" t="s">
        <v>57</v>
      </c>
      <c r="B49" t="s">
        <v>78</v>
      </c>
      <c r="C49" t="s">
        <v>81</v>
      </c>
      <c r="D49" s="2">
        <v>0.17690457000000001</v>
      </c>
      <c r="E49" s="2">
        <v>7.6273610000000006E-2</v>
      </c>
      <c r="F49" s="2">
        <v>2.8215670000000002E-2</v>
      </c>
      <c r="G49" s="2">
        <v>2.70323556</v>
      </c>
      <c r="H49" s="2">
        <v>0.68289513999999996</v>
      </c>
      <c r="I49" s="2">
        <v>3.4709329999999997E-2</v>
      </c>
      <c r="J49" s="2">
        <v>19.6746856</v>
      </c>
      <c r="K49" s="2">
        <v>7.30748248</v>
      </c>
      <c r="L49" s="2">
        <v>1</v>
      </c>
      <c r="M49" s="2">
        <v>34</v>
      </c>
      <c r="N49" s="2">
        <v>1.064171E-2</v>
      </c>
      <c r="O49" s="2" t="b">
        <f t="shared" si="0"/>
        <v>0</v>
      </c>
      <c r="P49" s="2" t="s">
        <v>78</v>
      </c>
    </row>
    <row r="50" spans="1:16" s="7" customFormat="1" x14ac:dyDescent="0.2">
      <c r="A50" s="8" t="s">
        <v>60</v>
      </c>
      <c r="B50" s="7" t="s">
        <v>78</v>
      </c>
      <c r="C50" s="7" t="s">
        <v>81</v>
      </c>
      <c r="D50" s="8">
        <v>0.18128143999999999</v>
      </c>
      <c r="E50" s="8">
        <v>8.9092089999999999E-2</v>
      </c>
      <c r="F50" s="8">
        <v>3.2470600000000002E-2</v>
      </c>
      <c r="G50" s="8">
        <v>2.7437769699999999</v>
      </c>
      <c r="H50" s="8">
        <v>0.66060288</v>
      </c>
      <c r="I50" s="8">
        <v>3.9579549999999998E-2</v>
      </c>
      <c r="J50" s="8">
        <v>16.690509299999999</v>
      </c>
      <c r="K50" s="8">
        <v>7.5283120700000001</v>
      </c>
      <c r="L50" s="8">
        <v>1</v>
      </c>
      <c r="M50" s="8">
        <v>34</v>
      </c>
      <c r="N50" s="8">
        <v>9.62557E-3</v>
      </c>
      <c r="O50" s="8" t="b">
        <f t="shared" si="0"/>
        <v>1</v>
      </c>
      <c r="P50" s="8" t="s">
        <v>78</v>
      </c>
    </row>
    <row r="51" spans="1:16" s="7" customFormat="1" x14ac:dyDescent="0.2">
      <c r="A51" s="8" t="s">
        <v>70</v>
      </c>
      <c r="B51" s="7" t="s">
        <v>78</v>
      </c>
      <c r="C51" s="7" t="s">
        <v>81</v>
      </c>
      <c r="D51" s="8">
        <v>0.19981267</v>
      </c>
      <c r="E51" s="8">
        <v>9.1831940000000001E-2</v>
      </c>
      <c r="F51" s="8">
        <v>3.199051E-2</v>
      </c>
      <c r="G51" s="8">
        <v>2.87059978</v>
      </c>
      <c r="H51" s="8">
        <v>0.66096626000000003</v>
      </c>
      <c r="I51" s="8">
        <v>3.9141460000000003E-2</v>
      </c>
      <c r="J51" s="8">
        <v>16.8866029</v>
      </c>
      <c r="K51" s="8">
        <v>8.2403430800000006</v>
      </c>
      <c r="L51" s="8">
        <v>1</v>
      </c>
      <c r="M51" s="8">
        <v>33</v>
      </c>
      <c r="N51" s="8">
        <v>7.1000600000000001E-3</v>
      </c>
      <c r="O51" s="8" t="b">
        <f t="shared" si="0"/>
        <v>1</v>
      </c>
      <c r="P51" s="8" t="s">
        <v>78</v>
      </c>
    </row>
    <row r="52" spans="1:16" s="7" customFormat="1" x14ac:dyDescent="0.2">
      <c r="A52" s="8" t="s">
        <v>18</v>
      </c>
      <c r="B52" s="7" t="s">
        <v>78</v>
      </c>
      <c r="C52" s="7" t="s">
        <v>82</v>
      </c>
      <c r="D52" s="8">
        <v>0.23166353000000001</v>
      </c>
      <c r="E52" s="8">
        <v>8.1944199999999995E-2</v>
      </c>
      <c r="F52" s="8">
        <v>2.5224989999999999E-2</v>
      </c>
      <c r="G52" s="8">
        <v>3.24853192</v>
      </c>
      <c r="H52" s="8">
        <v>0.67211346999999999</v>
      </c>
      <c r="I52" s="8">
        <v>3.160429E-2</v>
      </c>
      <c r="J52" s="8">
        <v>21.2665273</v>
      </c>
      <c r="K52" s="8">
        <v>10.552959599999999</v>
      </c>
      <c r="L52" s="8">
        <v>1</v>
      </c>
      <c r="M52" s="8">
        <v>35</v>
      </c>
      <c r="N52" s="8">
        <v>2.5623299999999998E-3</v>
      </c>
      <c r="O52" s="8" t="b">
        <f t="shared" si="0"/>
        <v>1</v>
      </c>
      <c r="P52" s="8" t="s">
        <v>78</v>
      </c>
    </row>
    <row r="53" spans="1:16" s="7" customFormat="1" x14ac:dyDescent="0.2">
      <c r="A53" s="8" t="s">
        <v>19</v>
      </c>
      <c r="B53" s="7" t="s">
        <v>78</v>
      </c>
      <c r="C53" s="7" t="s">
        <v>82</v>
      </c>
      <c r="D53" s="8">
        <v>0.30629877999999999</v>
      </c>
      <c r="E53" s="8">
        <v>0.10147486</v>
      </c>
      <c r="F53" s="8">
        <v>2.5812970000000001E-2</v>
      </c>
      <c r="G53" s="8">
        <v>3.9311573900000001</v>
      </c>
      <c r="H53" s="8">
        <v>0.65687072999999996</v>
      </c>
      <c r="I53" s="8">
        <v>3.1805100000000003E-2</v>
      </c>
      <c r="J53" s="8">
        <v>20.652999600000001</v>
      </c>
      <c r="K53" s="8">
        <v>15.4539984</v>
      </c>
      <c r="L53" s="8">
        <v>1</v>
      </c>
      <c r="M53" s="8">
        <v>35</v>
      </c>
      <c r="N53" s="8">
        <v>3.8081999999999998E-4</v>
      </c>
      <c r="O53" s="8" t="b">
        <f t="shared" si="0"/>
        <v>1</v>
      </c>
      <c r="P53" s="8" t="s">
        <v>78</v>
      </c>
    </row>
    <row r="54" spans="1:16" s="7" customFormat="1" x14ac:dyDescent="0.2">
      <c r="A54" s="8" t="s">
        <v>32</v>
      </c>
      <c r="B54" s="7" t="s">
        <v>78</v>
      </c>
      <c r="C54" s="7" t="s">
        <v>82</v>
      </c>
      <c r="D54" s="8">
        <v>0.20724386</v>
      </c>
      <c r="E54" s="8">
        <v>8.5576940000000004E-2</v>
      </c>
      <c r="F54" s="8">
        <v>2.8291219999999999E-2</v>
      </c>
      <c r="G54" s="8">
        <v>3.02485844</v>
      </c>
      <c r="H54" s="8">
        <v>0.66810409999999998</v>
      </c>
      <c r="I54" s="8">
        <v>3.4772589999999999E-2</v>
      </c>
      <c r="J54" s="8">
        <v>19.213529699999999</v>
      </c>
      <c r="K54" s="8">
        <v>9.1497685799999999</v>
      </c>
      <c r="L54" s="8">
        <v>1</v>
      </c>
      <c r="M54" s="8">
        <v>35</v>
      </c>
      <c r="N54" s="8">
        <v>4.6382400000000001E-3</v>
      </c>
      <c r="O54" s="8" t="b">
        <f t="shared" si="0"/>
        <v>1</v>
      </c>
      <c r="P54" s="8" t="s">
        <v>78</v>
      </c>
    </row>
    <row r="55" spans="1:16" s="7" customFormat="1" x14ac:dyDescent="0.2">
      <c r="A55" s="8" t="s">
        <v>36</v>
      </c>
      <c r="B55" s="7" t="s">
        <v>78</v>
      </c>
      <c r="C55" s="7" t="s">
        <v>82</v>
      </c>
      <c r="D55" s="8">
        <v>0.38471834999999999</v>
      </c>
      <c r="E55" s="8">
        <v>0.13217026000000001</v>
      </c>
      <c r="F55" s="8">
        <v>3.1038469999999999E-2</v>
      </c>
      <c r="G55" s="8">
        <v>4.2582726500000003</v>
      </c>
      <c r="H55" s="8">
        <v>0.61275084999999996</v>
      </c>
      <c r="I55" s="8">
        <v>3.756731E-2</v>
      </c>
      <c r="J55" s="8">
        <v>16.310746600000002</v>
      </c>
      <c r="K55" s="8">
        <v>18.132885999999999</v>
      </c>
      <c r="L55" s="8">
        <v>1</v>
      </c>
      <c r="M55" s="8">
        <v>29</v>
      </c>
      <c r="N55" s="8">
        <v>1.9761E-4</v>
      </c>
      <c r="O55" s="8" t="b">
        <f t="shared" si="0"/>
        <v>1</v>
      </c>
      <c r="P55" s="8" t="s">
        <v>78</v>
      </c>
    </row>
    <row r="56" spans="1:16" s="7" customFormat="1" x14ac:dyDescent="0.2">
      <c r="A56" s="8" t="s">
        <v>47</v>
      </c>
      <c r="B56" s="7" t="s">
        <v>78</v>
      </c>
      <c r="C56" s="7" t="s">
        <v>82</v>
      </c>
      <c r="D56" s="8">
        <v>0.26579023000000002</v>
      </c>
      <c r="E56" s="8">
        <v>8.4505259999999999E-2</v>
      </c>
      <c r="F56" s="8">
        <v>2.3740520000000001E-2</v>
      </c>
      <c r="G56" s="8">
        <v>3.55953651</v>
      </c>
      <c r="H56" s="8">
        <v>0.67119810000000002</v>
      </c>
      <c r="I56" s="8">
        <v>2.956311E-2</v>
      </c>
      <c r="J56" s="8">
        <v>22.7039075</v>
      </c>
      <c r="K56" s="8">
        <v>12.6703002</v>
      </c>
      <c r="L56" s="8">
        <v>1</v>
      </c>
      <c r="M56" s="8">
        <v>35</v>
      </c>
      <c r="N56" s="8">
        <v>1.09227E-3</v>
      </c>
      <c r="O56" s="8" t="b">
        <f t="shared" si="0"/>
        <v>1</v>
      </c>
      <c r="P56" s="8" t="s">
        <v>78</v>
      </c>
    </row>
    <row r="57" spans="1:16" s="7" customFormat="1" x14ac:dyDescent="0.2">
      <c r="A57" s="8" t="s">
        <v>48</v>
      </c>
      <c r="B57" s="7" t="s">
        <v>78</v>
      </c>
      <c r="C57" s="7" t="s">
        <v>82</v>
      </c>
      <c r="D57" s="8">
        <v>0.21402067999999999</v>
      </c>
      <c r="E57" s="8">
        <v>9.7259650000000003E-2</v>
      </c>
      <c r="F57" s="8">
        <v>3.1504770000000001E-2</v>
      </c>
      <c r="G57" s="8">
        <v>3.0871400599999999</v>
      </c>
      <c r="H57" s="8">
        <v>0.65942071000000002</v>
      </c>
      <c r="I57" s="8">
        <v>3.9251029999999999E-2</v>
      </c>
      <c r="J57" s="8">
        <v>16.800087600000001</v>
      </c>
      <c r="K57" s="8">
        <v>9.5304337399999994</v>
      </c>
      <c r="L57" s="8">
        <v>1</v>
      </c>
      <c r="M57" s="8">
        <v>35</v>
      </c>
      <c r="N57" s="8">
        <v>3.93896E-3</v>
      </c>
      <c r="O57" s="8" t="b">
        <f t="shared" si="0"/>
        <v>1</v>
      </c>
      <c r="P57" s="8" t="s">
        <v>78</v>
      </c>
    </row>
    <row r="58" spans="1:16" s="7" customFormat="1" x14ac:dyDescent="0.2">
      <c r="A58" s="8" t="s">
        <v>53</v>
      </c>
      <c r="B58" s="7" t="s">
        <v>78</v>
      </c>
      <c r="C58" s="7" t="s">
        <v>82</v>
      </c>
      <c r="D58" s="8">
        <v>0.39601802000000003</v>
      </c>
      <c r="E58" s="8">
        <v>0.1384</v>
      </c>
      <c r="F58" s="8">
        <v>2.9312379999999999E-2</v>
      </c>
      <c r="G58" s="8">
        <v>4.7215538099999996</v>
      </c>
      <c r="H58" s="8">
        <v>0.61109426</v>
      </c>
      <c r="I58" s="8">
        <v>3.6209270000000002E-2</v>
      </c>
      <c r="J58" s="8">
        <v>16.876736999999999</v>
      </c>
      <c r="K58" s="8">
        <v>22.293070400000001</v>
      </c>
      <c r="L58" s="8">
        <v>1</v>
      </c>
      <c r="M58" s="8">
        <v>34</v>
      </c>
      <c r="N58" s="9">
        <v>3.93E-5</v>
      </c>
      <c r="O58" s="8" t="b">
        <f t="shared" si="0"/>
        <v>1</v>
      </c>
      <c r="P58" s="8" t="s">
        <v>78</v>
      </c>
    </row>
    <row r="59" spans="1:16" s="7" customFormat="1" x14ac:dyDescent="0.2">
      <c r="A59" s="8" t="s">
        <v>55</v>
      </c>
      <c r="B59" s="7" t="s">
        <v>78</v>
      </c>
      <c r="C59" s="7" t="s">
        <v>82</v>
      </c>
      <c r="D59" s="8">
        <v>0.31511112000000002</v>
      </c>
      <c r="E59" s="8">
        <v>0.11250789999999999</v>
      </c>
      <c r="F59" s="8">
        <v>2.8873820000000001E-2</v>
      </c>
      <c r="G59" s="8">
        <v>3.89653676</v>
      </c>
      <c r="H59" s="8">
        <v>0.64410418999999997</v>
      </c>
      <c r="I59" s="8">
        <v>3.4830710000000001E-2</v>
      </c>
      <c r="J59" s="8">
        <v>18.492422600000001</v>
      </c>
      <c r="K59" s="8">
        <v>15.182998700000001</v>
      </c>
      <c r="L59" s="8">
        <v>1</v>
      </c>
      <c r="M59" s="8">
        <v>33</v>
      </c>
      <c r="N59" s="8">
        <v>4.5087000000000003E-4</v>
      </c>
      <c r="O59" s="8" t="b">
        <f t="shared" si="0"/>
        <v>1</v>
      </c>
      <c r="P59" s="8" t="s">
        <v>78</v>
      </c>
    </row>
    <row r="60" spans="1:16" s="7" customFormat="1" x14ac:dyDescent="0.2">
      <c r="A60" s="8" t="s">
        <v>68</v>
      </c>
      <c r="B60" s="7" t="s">
        <v>78</v>
      </c>
      <c r="C60" s="7" t="s">
        <v>82</v>
      </c>
      <c r="D60" s="8">
        <v>0.34743108</v>
      </c>
      <c r="E60" s="8">
        <v>0.14035143999999999</v>
      </c>
      <c r="F60" s="8">
        <v>3.2513350000000003E-2</v>
      </c>
      <c r="G60" s="8">
        <v>4.31673273</v>
      </c>
      <c r="H60" s="8">
        <v>0.59759914999999997</v>
      </c>
      <c r="I60" s="8">
        <v>4.1069700000000001E-2</v>
      </c>
      <c r="J60" s="8">
        <v>14.550852300000001</v>
      </c>
      <c r="K60" s="8">
        <v>18.634181399999999</v>
      </c>
      <c r="L60" s="8">
        <v>1</v>
      </c>
      <c r="M60" s="8">
        <v>35</v>
      </c>
      <c r="N60" s="8">
        <v>1.2371999999999999E-4</v>
      </c>
      <c r="O60" s="8" t="b">
        <f t="shared" si="0"/>
        <v>1</v>
      </c>
      <c r="P60" s="8" t="s">
        <v>78</v>
      </c>
    </row>
    <row r="61" spans="1:16" s="7" customFormat="1" x14ac:dyDescent="0.2">
      <c r="A61" s="8" t="s">
        <v>69</v>
      </c>
      <c r="B61" s="7" t="s">
        <v>78</v>
      </c>
      <c r="C61" s="7" t="s">
        <v>82</v>
      </c>
      <c r="D61" s="8">
        <v>0.20398978000000001</v>
      </c>
      <c r="E61" s="8">
        <v>7.5118180000000007E-2</v>
      </c>
      <c r="F61" s="8">
        <v>2.508223E-2</v>
      </c>
      <c r="G61" s="8">
        <v>2.9948763999999999</v>
      </c>
      <c r="H61" s="8">
        <v>0.68537433000000003</v>
      </c>
      <c r="I61" s="8">
        <v>3.095939E-2</v>
      </c>
      <c r="J61" s="8">
        <v>22.137848900000002</v>
      </c>
      <c r="K61" s="8">
        <v>8.9692846799999995</v>
      </c>
      <c r="L61" s="8">
        <v>1</v>
      </c>
      <c r="M61" s="8">
        <v>35</v>
      </c>
      <c r="N61" s="8">
        <v>5.0152399999999998E-3</v>
      </c>
      <c r="O61" s="8" t="b">
        <f t="shared" si="0"/>
        <v>1</v>
      </c>
      <c r="P61" s="8" t="s">
        <v>78</v>
      </c>
    </row>
  </sheetData>
  <sortState xmlns:xlrd2="http://schemas.microsoft.com/office/spreadsheetml/2017/richdata2" ref="A2:P62">
    <sortCondition ref="C2:C6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F8FD-DED0-E540-B68A-2F27672F1F4C}">
  <dimension ref="A1:K61"/>
  <sheetViews>
    <sheetView topLeftCell="A45" workbookViewId="0">
      <selection activeCell="A42" sqref="A42:XFD42"/>
    </sheetView>
  </sheetViews>
  <sheetFormatPr baseColWidth="10" defaultRowHeight="16" x14ac:dyDescent="0.2"/>
  <cols>
    <col min="2" max="2" width="6.6640625" customWidth="1"/>
    <col min="4" max="4" width="52" bestFit="1" customWidth="1"/>
    <col min="5" max="5" width="12.83203125" bestFit="1" customWidth="1"/>
    <col min="6" max="6" width="18.6640625" customWidth="1"/>
  </cols>
  <sheetData>
    <row r="1" spans="1:11" x14ac:dyDescent="0.2">
      <c r="A1" t="s">
        <v>183</v>
      </c>
      <c r="B1" s="2" t="s">
        <v>122</v>
      </c>
      <c r="C1" s="2" t="s">
        <v>73</v>
      </c>
      <c r="D1" s="2" t="s">
        <v>97</v>
      </c>
      <c r="E1" s="2" t="s">
        <v>98</v>
      </c>
      <c r="F1" s="2" t="s">
        <v>99</v>
      </c>
      <c r="H1" s="2" t="s">
        <v>2</v>
      </c>
      <c r="I1" s="2" t="s">
        <v>5</v>
      </c>
      <c r="J1" s="2" t="s">
        <v>92</v>
      </c>
      <c r="K1" s="2" t="s">
        <v>182</v>
      </c>
    </row>
    <row r="2" spans="1:11" x14ac:dyDescent="0.2">
      <c r="A2">
        <v>1</v>
      </c>
      <c r="B2" s="2" t="s">
        <v>74</v>
      </c>
      <c r="C2" s="2" t="s">
        <v>75</v>
      </c>
      <c r="D2" s="2" t="s">
        <v>123</v>
      </c>
      <c r="E2" s="11">
        <v>2281</v>
      </c>
      <c r="F2" s="11">
        <v>2252</v>
      </c>
      <c r="G2" s="10">
        <v>0.50568036999999999</v>
      </c>
      <c r="H2" s="10">
        <v>-0.14633080000000001</v>
      </c>
      <c r="I2" s="10">
        <v>0.90907473999999999</v>
      </c>
      <c r="J2" s="10">
        <v>125.826859</v>
      </c>
      <c r="K2" s="3">
        <v>1.5199999999999999E-20</v>
      </c>
    </row>
    <row r="3" spans="1:11" s="7" customFormat="1" x14ac:dyDescent="0.2">
      <c r="A3" s="7">
        <v>2</v>
      </c>
      <c r="B3" s="8" t="s">
        <v>74</v>
      </c>
      <c r="C3" s="8" t="s">
        <v>75</v>
      </c>
      <c r="D3" s="8" t="s">
        <v>124</v>
      </c>
      <c r="E3" s="14">
        <v>2229</v>
      </c>
      <c r="F3" s="14">
        <v>2202</v>
      </c>
      <c r="G3" s="15">
        <v>0.44001825</v>
      </c>
      <c r="H3" s="15">
        <v>-0.13903399999999999</v>
      </c>
      <c r="I3" s="15">
        <v>0.90110895999999996</v>
      </c>
      <c r="J3" s="15">
        <v>104.507738</v>
      </c>
      <c r="K3" s="9">
        <v>1.8500000000000002E-18</v>
      </c>
    </row>
    <row r="4" spans="1:11" x14ac:dyDescent="0.2">
      <c r="A4">
        <v>3</v>
      </c>
      <c r="B4" s="2" t="s">
        <v>74</v>
      </c>
      <c r="C4" s="2" t="s">
        <v>75</v>
      </c>
      <c r="D4" s="2" t="s">
        <v>125</v>
      </c>
      <c r="E4" s="11">
        <v>1379</v>
      </c>
      <c r="F4" s="11">
        <v>1355</v>
      </c>
      <c r="G4" s="10">
        <v>0.50812383999999999</v>
      </c>
      <c r="H4" s="10">
        <v>-0.1121978</v>
      </c>
      <c r="I4" s="10">
        <v>0.84476616000000004</v>
      </c>
      <c r="J4" s="10">
        <v>123.96384399999999</v>
      </c>
      <c r="K4" s="3">
        <v>3.28E-20</v>
      </c>
    </row>
    <row r="5" spans="1:11" x14ac:dyDescent="0.2">
      <c r="A5">
        <v>4</v>
      </c>
      <c r="B5" s="2" t="s">
        <v>74</v>
      </c>
      <c r="C5" s="2" t="s">
        <v>75</v>
      </c>
      <c r="D5" s="2" t="s">
        <v>126</v>
      </c>
      <c r="E5" s="11">
        <v>1653</v>
      </c>
      <c r="F5" s="11">
        <v>1627</v>
      </c>
      <c r="G5" s="10">
        <v>0.48407898999999999</v>
      </c>
      <c r="H5" s="10">
        <v>-0.14457600000000001</v>
      </c>
      <c r="I5" s="10">
        <v>0.90537224999999999</v>
      </c>
      <c r="J5" s="10">
        <v>113.532027</v>
      </c>
      <c r="K5" s="3">
        <v>4.2100000000000001E-19</v>
      </c>
    </row>
    <row r="6" spans="1:11" x14ac:dyDescent="0.2">
      <c r="A6">
        <v>5</v>
      </c>
      <c r="B6" s="2" t="s">
        <v>74</v>
      </c>
      <c r="C6" s="2" t="s">
        <v>75</v>
      </c>
      <c r="D6" s="2" t="s">
        <v>127</v>
      </c>
      <c r="E6" s="11">
        <v>2402</v>
      </c>
      <c r="F6" s="11">
        <v>2374</v>
      </c>
      <c r="G6" s="10">
        <v>0.36472773000000003</v>
      </c>
      <c r="H6" s="10">
        <v>-9.3226400000000001E-2</v>
      </c>
      <c r="I6" s="10">
        <v>0.81222125000000001</v>
      </c>
      <c r="J6" s="10">
        <v>75.210795300000001</v>
      </c>
      <c r="K6" s="3">
        <v>1.41E-14</v>
      </c>
    </row>
    <row r="7" spans="1:11" x14ac:dyDescent="0.2">
      <c r="A7">
        <v>6</v>
      </c>
      <c r="B7" s="2" t="s">
        <v>74</v>
      </c>
      <c r="C7" s="2" t="s">
        <v>75</v>
      </c>
      <c r="D7" s="2" t="s">
        <v>128</v>
      </c>
      <c r="E7" s="11">
        <v>2503</v>
      </c>
      <c r="F7" s="11">
        <v>2475</v>
      </c>
      <c r="G7" s="10">
        <v>0.46600768999999997</v>
      </c>
      <c r="H7" s="10">
        <v>-0.14148740000000001</v>
      </c>
      <c r="I7" s="10">
        <v>0.90202411999999998</v>
      </c>
      <c r="J7" s="10">
        <v>113.449201</v>
      </c>
      <c r="K7" s="3">
        <v>1.98E-19</v>
      </c>
    </row>
    <row r="8" spans="1:11" x14ac:dyDescent="0.2">
      <c r="A8">
        <v>7</v>
      </c>
      <c r="B8" s="2" t="s">
        <v>74</v>
      </c>
      <c r="C8" s="2" t="s">
        <v>75</v>
      </c>
      <c r="D8" s="2" t="s">
        <v>129</v>
      </c>
      <c r="E8" s="11">
        <v>1528</v>
      </c>
      <c r="F8" s="11">
        <v>1504</v>
      </c>
      <c r="G8" s="10">
        <v>0.44085327000000002</v>
      </c>
      <c r="H8" s="10">
        <v>-0.13052849999999999</v>
      </c>
      <c r="I8" s="10">
        <v>0.88189114000000002</v>
      </c>
      <c r="J8" s="10">
        <v>100.920233</v>
      </c>
      <c r="K8" s="3">
        <v>7.2900000000000005E-18</v>
      </c>
    </row>
    <row r="9" spans="1:11" x14ac:dyDescent="0.2">
      <c r="A9">
        <v>8</v>
      </c>
      <c r="B9" s="2" t="s">
        <v>74</v>
      </c>
      <c r="C9" s="2" t="s">
        <v>75</v>
      </c>
      <c r="D9" s="2" t="s">
        <v>130</v>
      </c>
      <c r="E9" s="11">
        <v>1758</v>
      </c>
      <c r="F9" s="11">
        <v>1731</v>
      </c>
      <c r="G9" s="10">
        <v>0.41849257000000001</v>
      </c>
      <c r="H9" s="10">
        <v>-0.104784</v>
      </c>
      <c r="I9" s="10">
        <v>0.83352780999999998</v>
      </c>
      <c r="J9" s="10">
        <v>90.678229799999997</v>
      </c>
      <c r="K9" s="3">
        <v>1.59E-16</v>
      </c>
    </row>
    <row r="10" spans="1:11" x14ac:dyDescent="0.2">
      <c r="A10">
        <v>9</v>
      </c>
      <c r="B10" s="2" t="s">
        <v>74</v>
      </c>
      <c r="C10" s="2" t="s">
        <v>75</v>
      </c>
      <c r="D10" s="2" t="s">
        <v>131</v>
      </c>
      <c r="E10" s="11">
        <v>1339</v>
      </c>
      <c r="F10" s="11">
        <v>1314</v>
      </c>
      <c r="G10" s="10">
        <v>0.48800874999999999</v>
      </c>
      <c r="H10" s="10">
        <v>-0.16343350000000001</v>
      </c>
      <c r="I10" s="10">
        <v>0.94148008999999999</v>
      </c>
      <c r="J10" s="10">
        <v>111.519532</v>
      </c>
      <c r="K10" s="3">
        <v>1.0299999999999999E-18</v>
      </c>
    </row>
    <row r="11" spans="1:11" x14ac:dyDescent="0.2">
      <c r="A11">
        <v>10</v>
      </c>
      <c r="B11" s="2" t="s">
        <v>74</v>
      </c>
      <c r="C11" s="2" t="s">
        <v>75</v>
      </c>
      <c r="D11" s="2" t="s">
        <v>132</v>
      </c>
      <c r="E11" s="12">
        <v>1971</v>
      </c>
      <c r="F11" s="11">
        <v>1945</v>
      </c>
      <c r="G11" s="10">
        <v>0.52550785</v>
      </c>
      <c r="H11" s="10">
        <v>-0.14446780000000001</v>
      </c>
      <c r="I11" s="10">
        <v>0.90772430999999998</v>
      </c>
      <c r="J11" s="10">
        <v>142.869618</v>
      </c>
      <c r="K11" s="3">
        <v>1.26E-22</v>
      </c>
    </row>
    <row r="12" spans="1:11" x14ac:dyDescent="0.2">
      <c r="A12">
        <v>11</v>
      </c>
      <c r="B12" s="2" t="s">
        <v>76</v>
      </c>
      <c r="C12" s="2" t="s">
        <v>77</v>
      </c>
      <c r="D12" s="2" t="s">
        <v>133</v>
      </c>
      <c r="E12" s="11">
        <v>3422</v>
      </c>
      <c r="F12" s="11">
        <v>3420</v>
      </c>
      <c r="G12" s="10">
        <v>0.54378632000000005</v>
      </c>
      <c r="H12" s="10">
        <v>-0.13297310000000001</v>
      </c>
      <c r="I12" s="10">
        <v>0.88633843000000001</v>
      </c>
      <c r="J12" s="10">
        <v>178.793297</v>
      </c>
      <c r="K12" s="3">
        <v>2.4E-27</v>
      </c>
    </row>
    <row r="13" spans="1:11" x14ac:dyDescent="0.2">
      <c r="A13">
        <v>12</v>
      </c>
      <c r="B13" s="2" t="s">
        <v>76</v>
      </c>
      <c r="C13" s="2" t="s">
        <v>77</v>
      </c>
      <c r="D13" s="2" t="s">
        <v>134</v>
      </c>
      <c r="E13" s="11">
        <v>2211</v>
      </c>
      <c r="F13" s="11">
        <v>2207</v>
      </c>
      <c r="G13" s="10">
        <v>0.49971357999999999</v>
      </c>
      <c r="H13" s="10">
        <v>-0.13886889999999999</v>
      </c>
      <c r="I13" s="10">
        <v>0.89944634000000001</v>
      </c>
      <c r="J13" s="10">
        <v>130.85000099999999</v>
      </c>
      <c r="K13" s="3">
        <v>1.9400000000000002E-21</v>
      </c>
    </row>
    <row r="14" spans="1:11" x14ac:dyDescent="0.2">
      <c r="A14">
        <v>13</v>
      </c>
      <c r="B14" s="2" t="s">
        <v>76</v>
      </c>
      <c r="C14" s="2" t="s">
        <v>77</v>
      </c>
      <c r="D14" s="2" t="s">
        <v>135</v>
      </c>
      <c r="E14" s="11">
        <v>3467</v>
      </c>
      <c r="F14" s="11">
        <v>3465</v>
      </c>
      <c r="G14" s="10">
        <v>0.50871465999999999</v>
      </c>
      <c r="H14" s="10">
        <v>-0.13908280000000001</v>
      </c>
      <c r="I14" s="10">
        <v>0.89409598000000001</v>
      </c>
      <c r="J14" s="10">
        <v>148.07320899999999</v>
      </c>
      <c r="K14" s="3">
        <v>7.9000000000000004E-24</v>
      </c>
    </row>
    <row r="15" spans="1:11" x14ac:dyDescent="0.2">
      <c r="A15">
        <v>14</v>
      </c>
      <c r="B15" s="2" t="s">
        <v>76</v>
      </c>
      <c r="C15" s="2" t="s">
        <v>77</v>
      </c>
      <c r="D15" s="2" t="s">
        <v>136</v>
      </c>
      <c r="E15" s="11">
        <v>1891</v>
      </c>
      <c r="F15" s="11">
        <v>1890</v>
      </c>
      <c r="G15" s="10">
        <v>0.43402552999999999</v>
      </c>
      <c r="H15" s="10">
        <v>-0.113736</v>
      </c>
      <c r="I15" s="10">
        <v>0.85038334000000004</v>
      </c>
      <c r="J15" s="10">
        <v>98.925475899999995</v>
      </c>
      <c r="K15" s="3">
        <v>1.1999999999999999E-17</v>
      </c>
    </row>
    <row r="16" spans="1:11" x14ac:dyDescent="0.2">
      <c r="A16">
        <v>15</v>
      </c>
      <c r="B16" s="2" t="s">
        <v>76</v>
      </c>
      <c r="C16" s="2" t="s">
        <v>77</v>
      </c>
      <c r="D16" s="2" t="s">
        <v>137</v>
      </c>
      <c r="E16" s="11">
        <v>2018</v>
      </c>
      <c r="F16" s="11">
        <v>2015</v>
      </c>
      <c r="G16" s="10">
        <v>0.46157013000000002</v>
      </c>
      <c r="H16" s="10">
        <v>-0.1283088</v>
      </c>
      <c r="I16" s="10">
        <v>0.87415885999999998</v>
      </c>
      <c r="J16" s="10">
        <v>114.014529</v>
      </c>
      <c r="K16" s="3">
        <v>1.3300000000000001E-19</v>
      </c>
    </row>
    <row r="17" spans="1:11" s="7" customFormat="1" x14ac:dyDescent="0.2">
      <c r="A17" s="7">
        <v>16</v>
      </c>
      <c r="B17" s="8" t="s">
        <v>76</v>
      </c>
      <c r="C17" s="8" t="s">
        <v>77</v>
      </c>
      <c r="D17" s="8" t="s">
        <v>138</v>
      </c>
      <c r="E17" s="14">
        <v>5048</v>
      </c>
      <c r="F17" s="14">
        <v>5044</v>
      </c>
      <c r="G17" s="15">
        <v>0.53884639000000001</v>
      </c>
      <c r="H17" s="15">
        <v>-0.13274610000000001</v>
      </c>
      <c r="I17" s="15">
        <v>0.88885853000000004</v>
      </c>
      <c r="J17" s="15">
        <v>179.94512800000001</v>
      </c>
      <c r="K17" s="9">
        <v>1.1400000000000001E-27</v>
      </c>
    </row>
    <row r="18" spans="1:11" x14ac:dyDescent="0.2">
      <c r="A18">
        <v>17</v>
      </c>
      <c r="B18" s="2" t="s">
        <v>76</v>
      </c>
      <c r="C18" s="2" t="s">
        <v>77</v>
      </c>
      <c r="D18" s="2" t="s">
        <v>139</v>
      </c>
      <c r="E18" s="11">
        <v>2086</v>
      </c>
      <c r="F18" s="11">
        <v>2085</v>
      </c>
      <c r="G18" s="10">
        <v>0.45198581999999998</v>
      </c>
      <c r="H18" s="10">
        <v>-0.1177086</v>
      </c>
      <c r="I18" s="10">
        <v>0.85809175000000004</v>
      </c>
      <c r="J18" s="10">
        <v>114.643073</v>
      </c>
      <c r="K18" s="3">
        <v>6.9899999999999997E-20</v>
      </c>
    </row>
    <row r="19" spans="1:11" x14ac:dyDescent="0.2">
      <c r="A19">
        <v>18</v>
      </c>
      <c r="B19" s="2" t="s">
        <v>76</v>
      </c>
      <c r="C19" s="2" t="s">
        <v>77</v>
      </c>
      <c r="D19" s="2" t="s">
        <v>140</v>
      </c>
      <c r="E19" s="11">
        <v>1508</v>
      </c>
      <c r="F19" s="11">
        <v>1506</v>
      </c>
      <c r="G19" s="10">
        <v>0.39997272</v>
      </c>
      <c r="H19" s="10">
        <v>-0.1042366</v>
      </c>
      <c r="I19" s="10">
        <v>0.83463472999999999</v>
      </c>
      <c r="J19" s="10">
        <v>81.990678099999997</v>
      </c>
      <c r="K19" s="3">
        <v>2.5600000000000002E-15</v>
      </c>
    </row>
    <row r="20" spans="1:11" x14ac:dyDescent="0.2">
      <c r="A20">
        <v>19</v>
      </c>
      <c r="B20" s="2" t="s">
        <v>76</v>
      </c>
      <c r="C20" s="2" t="s">
        <v>77</v>
      </c>
      <c r="D20" s="2" t="s">
        <v>141</v>
      </c>
      <c r="E20" s="11">
        <v>2237</v>
      </c>
      <c r="F20" s="11">
        <v>2237</v>
      </c>
      <c r="G20" s="10">
        <v>0.51878548999999996</v>
      </c>
      <c r="H20" s="10">
        <v>-0.1491315</v>
      </c>
      <c r="I20" s="10">
        <v>0.91834937999999999</v>
      </c>
      <c r="J20" s="10">
        <v>141.22786500000001</v>
      </c>
      <c r="K20" s="3">
        <v>1.5E-22</v>
      </c>
    </row>
    <row r="21" spans="1:11" x14ac:dyDescent="0.2">
      <c r="A21">
        <v>20</v>
      </c>
      <c r="B21" s="2" t="s">
        <v>76</v>
      </c>
      <c r="C21" s="2" t="s">
        <v>77</v>
      </c>
      <c r="D21" s="2" t="s">
        <v>142</v>
      </c>
      <c r="E21" s="11">
        <v>4589</v>
      </c>
      <c r="F21" s="11">
        <v>4587</v>
      </c>
      <c r="G21" s="10">
        <v>0.60667764000000002</v>
      </c>
      <c r="H21" s="10">
        <v>-0.14219300000000001</v>
      </c>
      <c r="I21" s="10">
        <v>0.90508334000000001</v>
      </c>
      <c r="J21" s="10">
        <v>248.333451</v>
      </c>
      <c r="K21" s="3">
        <v>1.9100000000000001E-34</v>
      </c>
    </row>
    <row r="22" spans="1:11" x14ac:dyDescent="0.2">
      <c r="A22">
        <v>21</v>
      </c>
      <c r="B22" s="2" t="s">
        <v>76</v>
      </c>
      <c r="C22" s="2" t="s">
        <v>77</v>
      </c>
      <c r="D22" s="2" t="s">
        <v>143</v>
      </c>
      <c r="E22" s="11">
        <v>4200</v>
      </c>
      <c r="F22" s="11">
        <v>4194</v>
      </c>
      <c r="G22" s="10">
        <v>0.53617026000000001</v>
      </c>
      <c r="H22" s="10">
        <v>-0.1362082</v>
      </c>
      <c r="I22" s="10">
        <v>0.89438218000000003</v>
      </c>
      <c r="J22" s="10">
        <v>167.614709</v>
      </c>
      <c r="K22" s="3">
        <v>5.8099999999999996E-26</v>
      </c>
    </row>
    <row r="23" spans="1:11" x14ac:dyDescent="0.2">
      <c r="A23">
        <v>22</v>
      </c>
      <c r="B23" s="2" t="s">
        <v>78</v>
      </c>
      <c r="C23" s="2" t="s">
        <v>79</v>
      </c>
      <c r="D23" s="2" t="s">
        <v>144</v>
      </c>
      <c r="E23" s="11">
        <v>9710</v>
      </c>
      <c r="F23" s="11">
        <v>9666</v>
      </c>
      <c r="G23" s="10">
        <v>0.36555936999999999</v>
      </c>
      <c r="H23" s="10">
        <v>-0.13387470000000001</v>
      </c>
      <c r="I23" s="10">
        <v>0.88902413000000002</v>
      </c>
      <c r="J23" s="10">
        <v>102.562106</v>
      </c>
      <c r="K23" s="3">
        <v>2.5300000000000002E-19</v>
      </c>
    </row>
    <row r="24" spans="1:11" x14ac:dyDescent="0.2">
      <c r="A24">
        <v>23</v>
      </c>
      <c r="B24" s="2" t="s">
        <v>78</v>
      </c>
      <c r="C24" s="2" t="s">
        <v>79</v>
      </c>
      <c r="D24" s="2" t="s">
        <v>145</v>
      </c>
      <c r="E24" s="11">
        <v>4841</v>
      </c>
      <c r="F24" s="11">
        <v>4805</v>
      </c>
      <c r="G24" s="10">
        <v>0.35315216999999999</v>
      </c>
      <c r="H24" s="10">
        <v>-0.12159200000000001</v>
      </c>
      <c r="I24" s="10">
        <v>0.86928757000000001</v>
      </c>
      <c r="J24" s="10">
        <v>87.8993447</v>
      </c>
      <c r="K24" s="3">
        <v>6.1500000000000001E-17</v>
      </c>
    </row>
    <row r="25" spans="1:11" x14ac:dyDescent="0.2">
      <c r="A25">
        <v>24</v>
      </c>
      <c r="B25" s="2" t="s">
        <v>78</v>
      </c>
      <c r="C25" s="2" t="s">
        <v>79</v>
      </c>
      <c r="D25" s="2" t="s">
        <v>146</v>
      </c>
      <c r="E25" s="11">
        <v>8874</v>
      </c>
      <c r="F25" s="11">
        <v>8828</v>
      </c>
      <c r="G25" s="10">
        <v>0.37729473000000002</v>
      </c>
      <c r="H25" s="10">
        <v>-0.1564296</v>
      </c>
      <c r="I25" s="10">
        <v>0.93496356000000003</v>
      </c>
      <c r="J25" s="10">
        <v>107.84951700000001</v>
      </c>
      <c r="K25" s="3">
        <v>4.7299999999999999E-20</v>
      </c>
    </row>
    <row r="26" spans="1:11" x14ac:dyDescent="0.2">
      <c r="A26">
        <v>25</v>
      </c>
      <c r="B26" s="2" t="s">
        <v>78</v>
      </c>
      <c r="C26" s="2" t="s">
        <v>79</v>
      </c>
      <c r="D26" s="2" t="s">
        <v>147</v>
      </c>
      <c r="E26" s="11">
        <v>8840</v>
      </c>
      <c r="F26" s="11">
        <v>8807</v>
      </c>
      <c r="G26" s="10">
        <v>0.34328509000000001</v>
      </c>
      <c r="H26" s="10">
        <v>-0.12323919999999999</v>
      </c>
      <c r="I26" s="10">
        <v>0.86908962999999995</v>
      </c>
      <c r="J26" s="10">
        <v>91.477885700000002</v>
      </c>
      <c r="K26" s="3">
        <v>1.07E-17</v>
      </c>
    </row>
    <row r="27" spans="1:11" x14ac:dyDescent="0.2">
      <c r="A27">
        <v>26</v>
      </c>
      <c r="B27" s="2" t="s">
        <v>78</v>
      </c>
      <c r="C27" s="2" t="s">
        <v>79</v>
      </c>
      <c r="D27" s="2" t="s">
        <v>148</v>
      </c>
      <c r="E27" s="11">
        <v>4417</v>
      </c>
      <c r="F27" s="11">
        <v>4385</v>
      </c>
      <c r="G27" s="10">
        <v>0.36771239</v>
      </c>
      <c r="H27" s="10">
        <v>-0.1300695</v>
      </c>
      <c r="I27" s="10">
        <v>0.8855769</v>
      </c>
      <c r="J27" s="10">
        <v>91.304723600000003</v>
      </c>
      <c r="K27" s="3">
        <v>2.44E-17</v>
      </c>
    </row>
    <row r="28" spans="1:11" x14ac:dyDescent="0.2">
      <c r="A28">
        <v>27</v>
      </c>
      <c r="B28" s="2" t="s">
        <v>78</v>
      </c>
      <c r="C28" s="2" t="s">
        <v>79</v>
      </c>
      <c r="D28" s="2" t="s">
        <v>149</v>
      </c>
      <c r="E28" s="11">
        <v>10387</v>
      </c>
      <c r="F28" s="11">
        <v>10347</v>
      </c>
      <c r="G28" s="10">
        <v>0.39182091000000002</v>
      </c>
      <c r="H28" s="10">
        <v>-0.145205</v>
      </c>
      <c r="I28" s="10">
        <v>0.91312349000000004</v>
      </c>
      <c r="J28" s="10">
        <v>112.099936</v>
      </c>
      <c r="K28" s="3">
        <v>1.55E-20</v>
      </c>
    </row>
    <row r="29" spans="1:11" x14ac:dyDescent="0.2">
      <c r="A29">
        <v>28</v>
      </c>
      <c r="B29" s="2" t="s">
        <v>78</v>
      </c>
      <c r="C29" s="2" t="s">
        <v>79</v>
      </c>
      <c r="D29" s="2" t="s">
        <v>150</v>
      </c>
      <c r="E29" s="11">
        <v>4644</v>
      </c>
      <c r="F29" s="11">
        <v>4615</v>
      </c>
      <c r="G29" s="10">
        <v>0.34762834999999997</v>
      </c>
      <c r="H29" s="10">
        <v>-0.12190819999999999</v>
      </c>
      <c r="I29" s="10">
        <v>0.86872236999999997</v>
      </c>
      <c r="J29" s="10">
        <v>80.996024700000007</v>
      </c>
      <c r="K29" s="3">
        <v>8.6300000000000002E-16</v>
      </c>
    </row>
    <row r="30" spans="1:11" x14ac:dyDescent="0.2">
      <c r="A30">
        <v>29</v>
      </c>
      <c r="B30" s="2" t="s">
        <v>78</v>
      </c>
      <c r="C30" s="2" t="s">
        <v>79</v>
      </c>
      <c r="D30" s="2" t="s">
        <v>151</v>
      </c>
      <c r="E30" s="11">
        <v>7485</v>
      </c>
      <c r="F30" s="11">
        <v>7444</v>
      </c>
      <c r="G30" s="10">
        <v>0.38862301999999999</v>
      </c>
      <c r="H30" s="10">
        <v>-0.1699957</v>
      </c>
      <c r="I30" s="10">
        <v>0.96100569999999996</v>
      </c>
      <c r="J30" s="10">
        <v>109.96780099999999</v>
      </c>
      <c r="K30" s="3">
        <v>3.1600000000000002E-20</v>
      </c>
    </row>
    <row r="31" spans="1:11" x14ac:dyDescent="0.2">
      <c r="A31">
        <v>30</v>
      </c>
      <c r="B31" s="2" t="s">
        <v>78</v>
      </c>
      <c r="C31" s="2" t="s">
        <v>79</v>
      </c>
      <c r="D31" s="2" t="s">
        <v>152</v>
      </c>
      <c r="E31" s="11">
        <v>8223</v>
      </c>
      <c r="F31" s="11">
        <v>8190</v>
      </c>
      <c r="G31" s="10">
        <v>0.33341817000000001</v>
      </c>
      <c r="H31" s="10">
        <v>-0.12525420000000001</v>
      </c>
      <c r="I31" s="10">
        <v>0.87304968000000005</v>
      </c>
      <c r="J31" s="10">
        <v>88.033598600000005</v>
      </c>
      <c r="K31" s="3">
        <v>3.2499999999999998E-17</v>
      </c>
    </row>
    <row r="32" spans="1:11" s="7" customFormat="1" x14ac:dyDescent="0.2">
      <c r="A32" s="7">
        <v>31</v>
      </c>
      <c r="B32" s="8" t="s">
        <v>78</v>
      </c>
      <c r="C32" s="8" t="s">
        <v>79</v>
      </c>
      <c r="D32" s="8" t="s">
        <v>180</v>
      </c>
      <c r="E32" s="14">
        <v>5527</v>
      </c>
      <c r="F32" s="14">
        <v>5370</v>
      </c>
      <c r="G32" s="15">
        <v>0.34367082999999998</v>
      </c>
      <c r="H32" s="15">
        <v>-0.1238501</v>
      </c>
      <c r="I32" s="15">
        <v>0.87320282000000005</v>
      </c>
      <c r="J32" s="15">
        <v>84.827364700000004</v>
      </c>
      <c r="K32" s="9">
        <v>1.6199999999999999E-16</v>
      </c>
    </row>
    <row r="33" spans="1:11" x14ac:dyDescent="0.2">
      <c r="A33">
        <v>32</v>
      </c>
      <c r="B33" s="2" t="s">
        <v>78</v>
      </c>
      <c r="C33" s="2" t="s">
        <v>80</v>
      </c>
      <c r="D33" s="2" t="s">
        <v>176</v>
      </c>
      <c r="E33" s="11">
        <v>30043</v>
      </c>
      <c r="F33" s="11">
        <v>29985</v>
      </c>
      <c r="G33" s="10">
        <v>0.29103701999999998</v>
      </c>
      <c r="H33" s="10">
        <v>-0.1556381</v>
      </c>
      <c r="I33" s="10">
        <v>0.93199894000000005</v>
      </c>
      <c r="J33" s="10">
        <v>71.839404000000002</v>
      </c>
      <c r="K33" s="3">
        <v>9.3700000000000004E-15</v>
      </c>
    </row>
    <row r="34" spans="1:11" x14ac:dyDescent="0.2">
      <c r="A34">
        <v>33</v>
      </c>
      <c r="B34" s="2" t="s">
        <v>78</v>
      </c>
      <c r="C34" s="2" t="s">
        <v>80</v>
      </c>
      <c r="D34" s="2" t="s">
        <v>177</v>
      </c>
      <c r="E34" s="11">
        <v>29666</v>
      </c>
      <c r="F34" s="11">
        <v>29544</v>
      </c>
      <c r="G34" s="10">
        <v>0.35649134999999998</v>
      </c>
      <c r="H34" s="10">
        <v>-0.18234040000000001</v>
      </c>
      <c r="I34" s="10">
        <v>0.98440885</v>
      </c>
      <c r="J34" s="10">
        <v>95.838657100000006</v>
      </c>
      <c r="K34" s="3">
        <v>2.7699999999999999E-18</v>
      </c>
    </row>
    <row r="35" spans="1:11" x14ac:dyDescent="0.2">
      <c r="A35">
        <v>34</v>
      </c>
      <c r="B35" s="2" t="s">
        <v>78</v>
      </c>
      <c r="C35" s="2" t="s">
        <v>80</v>
      </c>
      <c r="D35" s="2" t="s">
        <v>178</v>
      </c>
      <c r="E35" s="11">
        <v>15488</v>
      </c>
      <c r="F35" s="11">
        <v>15445</v>
      </c>
      <c r="G35" s="10">
        <v>0.24151033</v>
      </c>
      <c r="H35" s="10">
        <v>-0.13242209999999999</v>
      </c>
      <c r="I35" s="10">
        <v>0.88074443999999996</v>
      </c>
      <c r="J35" s="10">
        <v>57.313713800000002</v>
      </c>
      <c r="K35" s="3">
        <v>1.8600000000000002E-12</v>
      </c>
    </row>
    <row r="36" spans="1:11" x14ac:dyDescent="0.2">
      <c r="A36">
        <v>35</v>
      </c>
      <c r="B36" s="2" t="s">
        <v>78</v>
      </c>
      <c r="C36" s="2" t="s">
        <v>80</v>
      </c>
      <c r="D36" s="2" t="s">
        <v>179</v>
      </c>
      <c r="E36" s="11">
        <v>67384</v>
      </c>
      <c r="F36" s="11">
        <v>67254</v>
      </c>
      <c r="G36" s="10">
        <v>0.26729986</v>
      </c>
      <c r="H36" s="10">
        <v>-0.1495476</v>
      </c>
      <c r="I36" s="10">
        <v>0.91389496000000003</v>
      </c>
      <c r="J36" s="10">
        <v>66.031480099999996</v>
      </c>
      <c r="K36" s="3">
        <v>6.7399999999999996E-14</v>
      </c>
    </row>
    <row r="37" spans="1:11" x14ac:dyDescent="0.2">
      <c r="A37">
        <v>36</v>
      </c>
      <c r="B37" s="2" t="s">
        <v>78</v>
      </c>
      <c r="C37" s="2" t="s">
        <v>80</v>
      </c>
      <c r="D37" s="2" t="s">
        <v>31</v>
      </c>
      <c r="E37" s="11">
        <v>19601</v>
      </c>
      <c r="F37" s="11">
        <v>19548</v>
      </c>
      <c r="G37" s="10">
        <v>0.26202355999999999</v>
      </c>
      <c r="H37" s="10">
        <v>-0.12971160000000001</v>
      </c>
      <c r="I37" s="10">
        <v>0.87819395</v>
      </c>
      <c r="J37" s="10">
        <v>63.910225400000002</v>
      </c>
      <c r="K37" s="3">
        <v>1.5200000000000001E-13</v>
      </c>
    </row>
    <row r="38" spans="1:11" x14ac:dyDescent="0.2">
      <c r="A38">
        <v>37</v>
      </c>
      <c r="B38" s="2" t="s">
        <v>78</v>
      </c>
      <c r="C38" s="2" t="s">
        <v>80</v>
      </c>
      <c r="D38" s="2" t="s">
        <v>181</v>
      </c>
      <c r="E38" s="11">
        <v>24447</v>
      </c>
      <c r="F38" s="11">
        <v>24381</v>
      </c>
      <c r="G38" s="10">
        <v>0.28047225999999997</v>
      </c>
      <c r="H38" s="10">
        <v>-0.14535029999999999</v>
      </c>
      <c r="I38" s="10">
        <v>0.90671734000000004</v>
      </c>
      <c r="J38" s="10">
        <v>70.164085700000001</v>
      </c>
      <c r="K38" s="3">
        <v>1.51E-14</v>
      </c>
    </row>
    <row r="39" spans="1:11" s="7" customFormat="1" x14ac:dyDescent="0.2">
      <c r="A39" s="7">
        <v>38</v>
      </c>
      <c r="B39" s="8" t="s">
        <v>78</v>
      </c>
      <c r="C39" s="8" t="s">
        <v>80</v>
      </c>
      <c r="D39" s="8" t="s">
        <v>172</v>
      </c>
      <c r="E39" s="14">
        <v>115658</v>
      </c>
      <c r="F39" s="14">
        <v>115069</v>
      </c>
      <c r="G39" s="15">
        <v>0.30842163</v>
      </c>
      <c r="H39" s="15">
        <v>-0.15658279999999999</v>
      </c>
      <c r="I39" s="15">
        <v>0.93270133</v>
      </c>
      <c r="J39" s="15">
        <v>82.949994700000005</v>
      </c>
      <c r="K39" s="9">
        <v>1.3299999999999999E-16</v>
      </c>
    </row>
    <row r="40" spans="1:11" x14ac:dyDescent="0.2">
      <c r="A40">
        <v>39</v>
      </c>
      <c r="B40" s="2" t="s">
        <v>78</v>
      </c>
      <c r="C40" s="2" t="s">
        <v>80</v>
      </c>
      <c r="D40" s="2" t="s">
        <v>173</v>
      </c>
      <c r="E40" s="11">
        <v>22650</v>
      </c>
      <c r="F40" s="11">
        <v>22609</v>
      </c>
      <c r="G40" s="10">
        <v>0.23201432999999999</v>
      </c>
      <c r="H40" s="10">
        <v>-0.1252228</v>
      </c>
      <c r="I40" s="10">
        <v>0.86493757999999998</v>
      </c>
      <c r="J40" s="10">
        <v>54.077266600000002</v>
      </c>
      <c r="K40" s="3">
        <v>6.6600000000000003E-12</v>
      </c>
    </row>
    <row r="41" spans="1:11" x14ac:dyDescent="0.2">
      <c r="A41">
        <v>40</v>
      </c>
      <c r="B41" s="2" t="s">
        <v>78</v>
      </c>
      <c r="C41" s="2" t="s">
        <v>80</v>
      </c>
      <c r="D41" s="2" t="s">
        <v>174</v>
      </c>
      <c r="E41" s="11">
        <v>44180</v>
      </c>
      <c r="F41" s="11">
        <v>43964</v>
      </c>
      <c r="G41" s="10">
        <v>0.34237229000000002</v>
      </c>
      <c r="H41" s="10">
        <v>-0.16924159999999999</v>
      </c>
      <c r="I41" s="10">
        <v>0.95525744000000001</v>
      </c>
      <c r="J41" s="10">
        <v>91.108009300000006</v>
      </c>
      <c r="K41" s="3">
        <v>1.21E-17</v>
      </c>
    </row>
    <row r="42" spans="1:11" s="7" customFormat="1" x14ac:dyDescent="0.2">
      <c r="A42" s="7">
        <v>41</v>
      </c>
      <c r="B42" s="8" t="s">
        <v>78</v>
      </c>
      <c r="C42" s="8" t="s">
        <v>81</v>
      </c>
      <c r="D42" s="8" t="s">
        <v>175</v>
      </c>
      <c r="E42" s="14">
        <v>32209</v>
      </c>
      <c r="F42" s="14">
        <v>32059</v>
      </c>
      <c r="G42" s="15">
        <v>0.38701744999999999</v>
      </c>
      <c r="H42" s="15">
        <v>-0.173626</v>
      </c>
      <c r="I42" s="15">
        <v>0.96690843999999998</v>
      </c>
      <c r="J42" s="15">
        <v>111.120734</v>
      </c>
      <c r="K42" s="9">
        <v>1.8899999999999998E-20</v>
      </c>
    </row>
    <row r="43" spans="1:11" x14ac:dyDescent="0.2">
      <c r="A43">
        <v>42</v>
      </c>
      <c r="B43" s="2" t="s">
        <v>78</v>
      </c>
      <c r="C43" s="2" t="s">
        <v>81</v>
      </c>
      <c r="D43" s="2" t="s">
        <v>171</v>
      </c>
      <c r="E43" s="11">
        <v>16946</v>
      </c>
      <c r="F43" s="11">
        <v>16869</v>
      </c>
      <c r="G43" s="10">
        <v>0.37574433000000002</v>
      </c>
      <c r="H43" s="10">
        <v>-0.16393199999999999</v>
      </c>
      <c r="I43" s="10">
        <v>0.94942870000000001</v>
      </c>
      <c r="J43" s="10">
        <v>106.53767499999999</v>
      </c>
      <c r="K43" s="3">
        <v>7.5100000000000001E-20</v>
      </c>
    </row>
    <row r="44" spans="1:11" x14ac:dyDescent="0.2">
      <c r="A44">
        <v>43</v>
      </c>
      <c r="B44" s="2" t="s">
        <v>78</v>
      </c>
      <c r="C44" s="2" t="s">
        <v>81</v>
      </c>
      <c r="D44" s="2" t="s">
        <v>170</v>
      </c>
      <c r="E44" s="11">
        <v>10687</v>
      </c>
      <c r="F44" s="11">
        <v>10642</v>
      </c>
      <c r="G44" s="10">
        <v>0.42003699</v>
      </c>
      <c r="H44" s="10">
        <v>-0.18508939999999999</v>
      </c>
      <c r="I44" s="10">
        <v>0.98866235999999996</v>
      </c>
      <c r="J44" s="10">
        <v>126.019132</v>
      </c>
      <c r="K44" s="3">
        <v>2.4100000000000002E-22</v>
      </c>
    </row>
    <row r="45" spans="1:11" x14ac:dyDescent="0.2">
      <c r="A45">
        <v>44</v>
      </c>
      <c r="B45" s="2" t="s">
        <v>78</v>
      </c>
      <c r="C45" s="2" t="s">
        <v>81</v>
      </c>
      <c r="D45" s="2" t="s">
        <v>169</v>
      </c>
      <c r="E45" s="11">
        <v>8249</v>
      </c>
      <c r="F45" s="11">
        <v>8207</v>
      </c>
      <c r="G45" s="10">
        <v>0.38298439000000001</v>
      </c>
      <c r="H45" s="10">
        <v>-0.17290330000000001</v>
      </c>
      <c r="I45" s="10">
        <v>0.96763023999999997</v>
      </c>
      <c r="J45" s="10">
        <v>107.381885</v>
      </c>
      <c r="K45" s="3">
        <v>7.0400000000000002E-20</v>
      </c>
    </row>
    <row r="46" spans="1:11" x14ac:dyDescent="0.2">
      <c r="A46">
        <v>45</v>
      </c>
      <c r="B46" s="2" t="s">
        <v>78</v>
      </c>
      <c r="C46" s="2" t="s">
        <v>81</v>
      </c>
      <c r="D46" s="2" t="s">
        <v>168</v>
      </c>
      <c r="E46" s="11">
        <v>4774</v>
      </c>
      <c r="F46" s="11">
        <v>4740</v>
      </c>
      <c r="G46" s="10">
        <v>0.32969844999999998</v>
      </c>
      <c r="H46" s="10">
        <v>-8.4962899999999994E-2</v>
      </c>
      <c r="I46" s="10">
        <v>0.79796526000000001</v>
      </c>
      <c r="J46" s="10">
        <v>79.190404900000004</v>
      </c>
      <c r="K46" s="3">
        <v>1.1200000000000001E-15</v>
      </c>
    </row>
    <row r="47" spans="1:11" x14ac:dyDescent="0.2">
      <c r="A47">
        <v>46</v>
      </c>
      <c r="B47" s="2" t="s">
        <v>78</v>
      </c>
      <c r="C47" s="2" t="s">
        <v>81</v>
      </c>
      <c r="D47" s="2" t="s">
        <v>167</v>
      </c>
      <c r="E47" s="11">
        <v>47289</v>
      </c>
      <c r="F47" s="11">
        <v>47153</v>
      </c>
      <c r="G47" s="10">
        <v>0.39821243000000001</v>
      </c>
      <c r="H47" s="10">
        <v>-0.1779646</v>
      </c>
      <c r="I47" s="10">
        <v>0.97622370999999997</v>
      </c>
      <c r="J47" s="10">
        <v>118.44715600000001</v>
      </c>
      <c r="K47" s="3">
        <v>1.7E-21</v>
      </c>
    </row>
    <row r="48" spans="1:11" x14ac:dyDescent="0.2">
      <c r="A48">
        <v>47</v>
      </c>
      <c r="B48" s="2" t="s">
        <v>78</v>
      </c>
      <c r="C48" s="2" t="s">
        <v>81</v>
      </c>
      <c r="D48" s="2" t="s">
        <v>166</v>
      </c>
      <c r="E48" s="11">
        <v>51642</v>
      </c>
      <c r="F48" s="11">
        <v>51517</v>
      </c>
      <c r="G48" s="10">
        <v>0.30002970000000001</v>
      </c>
      <c r="H48" s="10">
        <v>-0.14736350000000001</v>
      </c>
      <c r="I48" s="10">
        <v>0.91596666999999998</v>
      </c>
      <c r="J48" s="10">
        <v>77.153767500000001</v>
      </c>
      <c r="K48" s="3">
        <v>1.2199999999999999E-15</v>
      </c>
    </row>
    <row r="49" spans="1:11" x14ac:dyDescent="0.2">
      <c r="A49">
        <v>48</v>
      </c>
      <c r="B49" s="2" t="s">
        <v>78</v>
      </c>
      <c r="C49" s="2" t="s">
        <v>81</v>
      </c>
      <c r="D49" s="2" t="s">
        <v>165</v>
      </c>
      <c r="E49" s="11">
        <v>19897</v>
      </c>
      <c r="F49" s="11">
        <v>19738</v>
      </c>
      <c r="G49" s="10">
        <v>0.40796550999999998</v>
      </c>
      <c r="H49" s="10">
        <v>-0.17419670000000001</v>
      </c>
      <c r="I49" s="10">
        <v>0.96780562999999997</v>
      </c>
      <c r="J49" s="10">
        <v>119.901796</v>
      </c>
      <c r="K49" s="3">
        <v>1.4699999999999999E-21</v>
      </c>
    </row>
    <row r="50" spans="1:11" x14ac:dyDescent="0.2">
      <c r="A50">
        <v>49</v>
      </c>
      <c r="B50" s="2" t="s">
        <v>78</v>
      </c>
      <c r="C50" s="2" t="s">
        <v>81</v>
      </c>
      <c r="D50" s="2" t="s">
        <v>164</v>
      </c>
      <c r="E50" s="11">
        <v>37760</v>
      </c>
      <c r="F50" s="11">
        <v>37587</v>
      </c>
      <c r="G50" s="10">
        <v>0.38629753999999999</v>
      </c>
      <c r="H50" s="10">
        <v>-0.1764937</v>
      </c>
      <c r="I50" s="10">
        <v>0.97289946000000005</v>
      </c>
      <c r="J50" s="10">
        <v>111.413381</v>
      </c>
      <c r="K50" s="3">
        <v>1.64E-20</v>
      </c>
    </row>
    <row r="51" spans="1:11" x14ac:dyDescent="0.2">
      <c r="A51">
        <v>50</v>
      </c>
      <c r="B51" s="2" t="s">
        <v>78</v>
      </c>
      <c r="C51" s="2" t="s">
        <v>81</v>
      </c>
      <c r="D51" s="2" t="s">
        <v>163</v>
      </c>
      <c r="E51" s="11">
        <v>22173</v>
      </c>
      <c r="F51" s="11">
        <v>22082</v>
      </c>
      <c r="G51" s="10">
        <v>0.40038256</v>
      </c>
      <c r="H51" s="10">
        <v>-0.1733259</v>
      </c>
      <c r="I51" s="10">
        <v>0.96721281999999997</v>
      </c>
      <c r="J51" s="10">
        <v>117.52048000000001</v>
      </c>
      <c r="K51" s="3">
        <v>2.6700000000000001E-21</v>
      </c>
    </row>
    <row r="52" spans="1:11" x14ac:dyDescent="0.2">
      <c r="A52">
        <v>51</v>
      </c>
      <c r="B52" s="2" t="s">
        <v>78</v>
      </c>
      <c r="C52" s="2" t="s">
        <v>82</v>
      </c>
      <c r="D52" s="2" t="s">
        <v>162</v>
      </c>
      <c r="E52" s="11">
        <v>11868</v>
      </c>
      <c r="F52" s="11">
        <v>11819</v>
      </c>
      <c r="G52" s="10">
        <v>0.33261338000000001</v>
      </c>
      <c r="H52" s="10">
        <v>-0.11090220000000001</v>
      </c>
      <c r="I52" s="10">
        <v>0.84164379</v>
      </c>
      <c r="J52" s="10">
        <v>88.711968499999998</v>
      </c>
      <c r="K52" s="3">
        <v>2.3999999999999999E-17</v>
      </c>
    </row>
    <row r="53" spans="1:11" x14ac:dyDescent="0.2">
      <c r="A53">
        <v>52</v>
      </c>
      <c r="B53" s="2" t="s">
        <v>78</v>
      </c>
      <c r="C53" s="2" t="s">
        <v>82</v>
      </c>
      <c r="D53" s="2" t="s">
        <v>161</v>
      </c>
      <c r="E53" s="11">
        <v>15466</v>
      </c>
      <c r="F53" s="11">
        <v>15415</v>
      </c>
      <c r="G53" s="10">
        <v>0.35145921000000002</v>
      </c>
      <c r="H53" s="10">
        <v>-0.1108643</v>
      </c>
      <c r="I53" s="10">
        <v>0.84343683000000003</v>
      </c>
      <c r="J53" s="10">
        <v>97.004227900000004</v>
      </c>
      <c r="K53" s="3">
        <v>1.4700000000000001E-18</v>
      </c>
    </row>
    <row r="54" spans="1:11" x14ac:dyDescent="0.2">
      <c r="A54">
        <v>53</v>
      </c>
      <c r="B54" s="2" t="s">
        <v>78</v>
      </c>
      <c r="C54" s="2" t="s">
        <v>82</v>
      </c>
      <c r="D54" s="2" t="s">
        <v>160</v>
      </c>
      <c r="E54" s="11">
        <v>11120</v>
      </c>
      <c r="F54" s="11">
        <v>11085</v>
      </c>
      <c r="G54" s="10">
        <v>0.36764770000000002</v>
      </c>
      <c r="H54" s="10">
        <v>-0.124794</v>
      </c>
      <c r="I54" s="10">
        <v>0.87052077999999999</v>
      </c>
      <c r="J54" s="10">
        <v>102.907262</v>
      </c>
      <c r="K54" s="3">
        <v>2.3700000000000002E-19</v>
      </c>
    </row>
    <row r="55" spans="1:11" x14ac:dyDescent="0.2">
      <c r="A55">
        <v>54</v>
      </c>
      <c r="B55" s="2" t="s">
        <v>78</v>
      </c>
      <c r="C55" s="2" t="s">
        <v>82</v>
      </c>
      <c r="D55" s="2" t="s">
        <v>159</v>
      </c>
      <c r="E55" s="11">
        <v>4240</v>
      </c>
      <c r="F55" s="11">
        <v>4207</v>
      </c>
      <c r="G55" s="10">
        <v>0.21458383</v>
      </c>
      <c r="H55" s="10">
        <v>-0.1217753</v>
      </c>
      <c r="I55" s="10">
        <v>0.85803996000000005</v>
      </c>
      <c r="J55" s="10">
        <v>36.063765799999999</v>
      </c>
      <c r="K55" s="3">
        <v>1.74E-8</v>
      </c>
    </row>
    <row r="56" spans="1:11" x14ac:dyDescent="0.2">
      <c r="A56">
        <v>55</v>
      </c>
      <c r="B56" s="2" t="s">
        <v>78</v>
      </c>
      <c r="C56" s="2" t="s">
        <v>82</v>
      </c>
      <c r="D56" s="2" t="s">
        <v>158</v>
      </c>
      <c r="E56" s="11">
        <v>10583</v>
      </c>
      <c r="F56" s="11">
        <v>10553</v>
      </c>
      <c r="G56" s="10">
        <v>0.35712132000000002</v>
      </c>
      <c r="H56" s="10">
        <v>-0.1654929</v>
      </c>
      <c r="I56" s="10">
        <v>0.94458586</v>
      </c>
      <c r="J56" s="10">
        <v>99.435118200000005</v>
      </c>
      <c r="K56" s="3">
        <v>6.6299999999999996E-19</v>
      </c>
    </row>
    <row r="57" spans="1:11" s="7" customFormat="1" x14ac:dyDescent="0.2">
      <c r="A57" s="7">
        <v>56</v>
      </c>
      <c r="B57" s="8" t="s">
        <v>78</v>
      </c>
      <c r="C57" s="8" t="s">
        <v>82</v>
      </c>
      <c r="D57" s="8" t="s">
        <v>157</v>
      </c>
      <c r="E57" s="14">
        <v>13179</v>
      </c>
      <c r="F57" s="14">
        <v>13144</v>
      </c>
      <c r="G57" s="15">
        <v>0.41706201999999998</v>
      </c>
      <c r="H57" s="15">
        <v>-0.14150499999999999</v>
      </c>
      <c r="I57" s="15">
        <v>0.90248382999999999</v>
      </c>
      <c r="J57" s="15">
        <v>125.91891099999999</v>
      </c>
      <c r="K57" s="9">
        <v>2.1899999999999999E-22</v>
      </c>
    </row>
    <row r="58" spans="1:11" x14ac:dyDescent="0.2">
      <c r="A58">
        <v>57</v>
      </c>
      <c r="B58" s="2" t="s">
        <v>78</v>
      </c>
      <c r="C58" s="2" t="s">
        <v>82</v>
      </c>
      <c r="D58" s="2" t="s">
        <v>156</v>
      </c>
      <c r="E58" s="11">
        <v>28398</v>
      </c>
      <c r="F58" s="11">
        <v>28169</v>
      </c>
      <c r="G58" s="10">
        <v>0.39452854999999998</v>
      </c>
      <c r="H58" s="10">
        <v>-0.19507269999999999</v>
      </c>
      <c r="I58" s="10">
        <v>1.0040556599999999</v>
      </c>
      <c r="J58" s="10">
        <v>106.863308</v>
      </c>
      <c r="K58" s="3">
        <v>1.3300000000000001E-19</v>
      </c>
    </row>
    <row r="59" spans="1:11" x14ac:dyDescent="0.2">
      <c r="A59">
        <v>58</v>
      </c>
      <c r="B59" s="2" t="s">
        <v>78</v>
      </c>
      <c r="C59" s="2" t="s">
        <v>82</v>
      </c>
      <c r="D59" s="2" t="s">
        <v>155</v>
      </c>
      <c r="E59" s="11">
        <v>8206</v>
      </c>
      <c r="F59" s="11">
        <v>8166</v>
      </c>
      <c r="G59" s="10">
        <v>0.45499537000000001</v>
      </c>
      <c r="H59" s="10">
        <v>-0.2019946</v>
      </c>
      <c r="I59" s="10">
        <v>1.02412806</v>
      </c>
      <c r="J59" s="10">
        <v>141.923958</v>
      </c>
      <c r="K59" s="3">
        <v>3.5299999999999999E-24</v>
      </c>
    </row>
    <row r="60" spans="1:11" x14ac:dyDescent="0.2">
      <c r="A60">
        <v>59</v>
      </c>
      <c r="B60" s="2" t="s">
        <v>78</v>
      </c>
      <c r="C60" s="2" t="s">
        <v>82</v>
      </c>
      <c r="D60" s="2" t="s">
        <v>154</v>
      </c>
      <c r="E60" s="11">
        <v>20293</v>
      </c>
      <c r="F60" s="11">
        <v>20219</v>
      </c>
      <c r="G60" s="10">
        <v>0.30352604</v>
      </c>
      <c r="H60" s="10">
        <v>-0.13595750000000001</v>
      </c>
      <c r="I60" s="10">
        <v>0.88801200000000002</v>
      </c>
      <c r="J60" s="10">
        <v>72.7792429</v>
      </c>
      <c r="K60" s="3">
        <v>8.4300000000000001E-15</v>
      </c>
    </row>
    <row r="61" spans="1:11" x14ac:dyDescent="0.2">
      <c r="A61">
        <v>60</v>
      </c>
      <c r="B61" s="2" t="s">
        <v>78</v>
      </c>
      <c r="C61" s="2" t="s">
        <v>82</v>
      </c>
      <c r="D61" s="2" t="s">
        <v>153</v>
      </c>
      <c r="E61" s="11">
        <v>9040</v>
      </c>
      <c r="F61" s="11">
        <v>9000</v>
      </c>
      <c r="G61" s="10">
        <v>0.41464033</v>
      </c>
      <c r="H61" s="10">
        <v>-0.1640857</v>
      </c>
      <c r="I61" s="10">
        <v>0.94958463999999998</v>
      </c>
      <c r="J61" s="10">
        <v>121.836437</v>
      </c>
      <c r="K61" s="3">
        <v>9.3199999999999993E-22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CA5F-694C-9442-A822-32290DF64F77}">
  <dimension ref="A1:E61"/>
  <sheetViews>
    <sheetView workbookViewId="0"/>
  </sheetViews>
  <sheetFormatPr baseColWidth="10" defaultRowHeight="16" x14ac:dyDescent="0.2"/>
  <sheetData>
    <row r="1" spans="1:5" x14ac:dyDescent="0.2">
      <c r="A1" s="5" t="s">
        <v>184</v>
      </c>
      <c r="B1" s="5" t="s">
        <v>185</v>
      </c>
      <c r="C1" s="5" t="s">
        <v>186</v>
      </c>
      <c r="D1" s="5" t="s">
        <v>72</v>
      </c>
      <c r="E1" s="5" t="s">
        <v>73</v>
      </c>
    </row>
    <row r="2" spans="1:5" x14ac:dyDescent="0.2">
      <c r="A2" t="s">
        <v>12</v>
      </c>
      <c r="B2">
        <v>-0.65559999999999996</v>
      </c>
      <c r="C2" s="13" t="s">
        <v>187</v>
      </c>
      <c r="D2" t="s">
        <v>76</v>
      </c>
      <c r="E2" t="s">
        <v>77</v>
      </c>
    </row>
    <row r="3" spans="1:5" x14ac:dyDescent="0.2">
      <c r="A3" t="s">
        <v>188</v>
      </c>
      <c r="B3">
        <v>-0.37040000000000001</v>
      </c>
      <c r="C3" s="13" t="s">
        <v>189</v>
      </c>
      <c r="D3" t="s">
        <v>78</v>
      </c>
      <c r="E3" t="s">
        <v>80</v>
      </c>
    </row>
    <row r="4" spans="1:5" x14ac:dyDescent="0.2">
      <c r="A4" t="s">
        <v>14</v>
      </c>
      <c r="B4">
        <v>-0.43859999999999999</v>
      </c>
      <c r="C4" s="13" t="s">
        <v>190</v>
      </c>
      <c r="D4" t="s">
        <v>78</v>
      </c>
      <c r="E4" t="s">
        <v>81</v>
      </c>
    </row>
    <row r="5" spans="1:5" x14ac:dyDescent="0.2">
      <c r="A5" t="s">
        <v>15</v>
      </c>
      <c r="B5">
        <v>-0.65739999999999998</v>
      </c>
      <c r="C5" s="13" t="s">
        <v>191</v>
      </c>
      <c r="D5" t="s">
        <v>74</v>
      </c>
      <c r="E5" t="s">
        <v>75</v>
      </c>
    </row>
    <row r="6" spans="1:5" x14ac:dyDescent="0.2">
      <c r="A6" t="s">
        <v>16</v>
      </c>
      <c r="B6">
        <v>-0.63990000000000002</v>
      </c>
      <c r="C6" s="13" t="s">
        <v>192</v>
      </c>
      <c r="D6" t="s">
        <v>76</v>
      </c>
      <c r="E6" t="s">
        <v>77</v>
      </c>
    </row>
    <row r="7" spans="1:5" x14ac:dyDescent="0.2">
      <c r="A7" t="s">
        <v>17</v>
      </c>
      <c r="B7">
        <v>-0.65710000000000002</v>
      </c>
      <c r="C7" s="13" t="s">
        <v>193</v>
      </c>
      <c r="D7" t="s">
        <v>78</v>
      </c>
      <c r="E7" t="s">
        <v>79</v>
      </c>
    </row>
    <row r="8" spans="1:5" x14ac:dyDescent="0.2">
      <c r="A8" t="s">
        <v>18</v>
      </c>
      <c r="B8">
        <v>-0.52949999999999997</v>
      </c>
      <c r="C8" s="13" t="s">
        <v>194</v>
      </c>
      <c r="D8" t="s">
        <v>78</v>
      </c>
      <c r="E8" t="s">
        <v>82</v>
      </c>
    </row>
    <row r="9" spans="1:5" x14ac:dyDescent="0.2">
      <c r="A9" t="s">
        <v>19</v>
      </c>
      <c r="B9">
        <v>-0.53120000000000001</v>
      </c>
      <c r="C9" s="13" t="s">
        <v>195</v>
      </c>
      <c r="D9" t="s">
        <v>78</v>
      </c>
      <c r="E9" t="s">
        <v>82</v>
      </c>
    </row>
    <row r="10" spans="1:5" x14ac:dyDescent="0.2">
      <c r="A10" t="s">
        <v>20</v>
      </c>
      <c r="B10">
        <v>-0.43780000000000002</v>
      </c>
      <c r="C10" s="13" t="s">
        <v>196</v>
      </c>
      <c r="D10" t="s">
        <v>78</v>
      </c>
      <c r="E10" t="s">
        <v>80</v>
      </c>
    </row>
    <row r="11" spans="1:5" x14ac:dyDescent="0.2">
      <c r="A11" t="s">
        <v>21</v>
      </c>
      <c r="B11">
        <v>-0.53890000000000005</v>
      </c>
      <c r="C11" s="13" t="s">
        <v>197</v>
      </c>
      <c r="D11" t="s">
        <v>78</v>
      </c>
      <c r="E11" t="s">
        <v>79</v>
      </c>
    </row>
    <row r="12" spans="1:5" x14ac:dyDescent="0.2">
      <c r="A12" t="s">
        <v>22</v>
      </c>
      <c r="B12">
        <v>-0.4854</v>
      </c>
      <c r="C12" s="13" t="s">
        <v>198</v>
      </c>
      <c r="D12" t="s">
        <v>78</v>
      </c>
      <c r="E12" t="s">
        <v>81</v>
      </c>
    </row>
    <row r="13" spans="1:5" x14ac:dyDescent="0.2">
      <c r="A13" t="s">
        <v>23</v>
      </c>
      <c r="B13">
        <v>-0.60770000000000002</v>
      </c>
      <c r="C13" s="13" t="s">
        <v>199</v>
      </c>
      <c r="D13" t="s">
        <v>78</v>
      </c>
      <c r="E13" t="s">
        <v>79</v>
      </c>
    </row>
    <row r="14" spans="1:5" x14ac:dyDescent="0.2">
      <c r="A14" t="s">
        <v>24</v>
      </c>
      <c r="B14">
        <v>-0.54930000000000001</v>
      </c>
      <c r="C14" s="13" t="s">
        <v>200</v>
      </c>
      <c r="D14" t="s">
        <v>78</v>
      </c>
      <c r="E14" t="s">
        <v>81</v>
      </c>
    </row>
    <row r="15" spans="1:5" x14ac:dyDescent="0.2">
      <c r="A15" t="s">
        <v>25</v>
      </c>
      <c r="B15">
        <v>-0.53420000000000001</v>
      </c>
      <c r="C15" s="13" t="s">
        <v>201</v>
      </c>
      <c r="D15" t="s">
        <v>78</v>
      </c>
      <c r="E15" t="s">
        <v>81</v>
      </c>
    </row>
    <row r="16" spans="1:5" x14ac:dyDescent="0.2">
      <c r="A16" t="s">
        <v>26</v>
      </c>
      <c r="B16">
        <v>-0.35049999999999998</v>
      </c>
      <c r="C16" s="13" t="s">
        <v>202</v>
      </c>
      <c r="D16" t="s">
        <v>78</v>
      </c>
      <c r="E16" t="s">
        <v>80</v>
      </c>
    </row>
    <row r="17" spans="1:5" x14ac:dyDescent="0.2">
      <c r="A17" t="s">
        <v>27</v>
      </c>
      <c r="B17">
        <v>-0.5897</v>
      </c>
      <c r="C17" s="13" t="s">
        <v>203</v>
      </c>
      <c r="D17" t="s">
        <v>78</v>
      </c>
      <c r="E17" t="s">
        <v>79</v>
      </c>
    </row>
    <row r="18" spans="1:5" x14ac:dyDescent="0.2">
      <c r="A18" t="s">
        <v>28</v>
      </c>
      <c r="B18">
        <v>-0.48480000000000001</v>
      </c>
      <c r="C18" s="13" t="s">
        <v>204</v>
      </c>
      <c r="D18" t="s">
        <v>78</v>
      </c>
      <c r="E18" t="s">
        <v>81</v>
      </c>
    </row>
    <row r="19" spans="1:5" x14ac:dyDescent="0.2">
      <c r="A19" t="s">
        <v>29</v>
      </c>
      <c r="B19">
        <v>-0.66720000000000002</v>
      </c>
      <c r="C19" s="13" t="s">
        <v>205</v>
      </c>
      <c r="D19" t="s">
        <v>76</v>
      </c>
      <c r="E19" t="s">
        <v>77</v>
      </c>
    </row>
    <row r="20" spans="1:5" x14ac:dyDescent="0.2">
      <c r="A20" t="s">
        <v>30</v>
      </c>
      <c r="B20">
        <v>-0.32790000000000002</v>
      </c>
      <c r="C20" s="13" t="s">
        <v>206</v>
      </c>
      <c r="D20" t="s">
        <v>78</v>
      </c>
      <c r="E20" t="s">
        <v>80</v>
      </c>
    </row>
    <row r="21" spans="1:5" x14ac:dyDescent="0.2">
      <c r="A21" t="s">
        <v>31</v>
      </c>
      <c r="B21">
        <v>-0.34939999999999999</v>
      </c>
      <c r="C21" s="13" t="s">
        <v>207</v>
      </c>
      <c r="D21" t="s">
        <v>78</v>
      </c>
      <c r="E21" t="s">
        <v>80</v>
      </c>
    </row>
    <row r="22" spans="1:5" x14ac:dyDescent="0.2">
      <c r="A22" t="s">
        <v>32</v>
      </c>
      <c r="B22">
        <v>-0.5413</v>
      </c>
      <c r="C22" s="13" t="s">
        <v>208</v>
      </c>
      <c r="D22" t="s">
        <v>78</v>
      </c>
      <c r="E22" t="s">
        <v>82</v>
      </c>
    </row>
    <row r="23" spans="1:5" x14ac:dyDescent="0.2">
      <c r="A23" t="s">
        <v>33</v>
      </c>
      <c r="B23">
        <v>-0.52949999999999997</v>
      </c>
      <c r="C23" s="13" t="s">
        <v>209</v>
      </c>
      <c r="D23" t="s">
        <v>78</v>
      </c>
      <c r="E23" t="s">
        <v>79</v>
      </c>
    </row>
    <row r="24" spans="1:5" x14ac:dyDescent="0.2">
      <c r="A24" t="s">
        <v>34</v>
      </c>
      <c r="B24">
        <v>-0.67630000000000001</v>
      </c>
      <c r="C24" s="13" t="s">
        <v>210</v>
      </c>
      <c r="D24" t="s">
        <v>76</v>
      </c>
      <c r="E24" t="s">
        <v>77</v>
      </c>
    </row>
    <row r="25" spans="1:5" x14ac:dyDescent="0.2">
      <c r="A25" t="s">
        <v>35</v>
      </c>
      <c r="B25">
        <v>-0.3458</v>
      </c>
      <c r="C25" s="13" t="s">
        <v>211</v>
      </c>
      <c r="D25" t="s">
        <v>78</v>
      </c>
      <c r="E25" t="s">
        <v>80</v>
      </c>
    </row>
    <row r="26" spans="1:5" x14ac:dyDescent="0.2">
      <c r="A26" t="s">
        <v>36</v>
      </c>
      <c r="B26">
        <v>-0.50090000000000001</v>
      </c>
      <c r="C26" s="13" t="s">
        <v>212</v>
      </c>
      <c r="D26" t="s">
        <v>78</v>
      </c>
      <c r="E26" t="s">
        <v>82</v>
      </c>
    </row>
    <row r="27" spans="1:5" x14ac:dyDescent="0.2">
      <c r="A27" t="s">
        <v>37</v>
      </c>
      <c r="B27">
        <v>-0.65259999999999996</v>
      </c>
      <c r="C27" s="13" t="s">
        <v>213</v>
      </c>
      <c r="D27" t="s">
        <v>74</v>
      </c>
      <c r="E27" t="s">
        <v>75</v>
      </c>
    </row>
    <row r="28" spans="1:5" x14ac:dyDescent="0.2">
      <c r="A28" t="s">
        <v>38</v>
      </c>
      <c r="B28">
        <v>-0.2641</v>
      </c>
      <c r="C28" s="13" t="s">
        <v>214</v>
      </c>
      <c r="D28" t="s">
        <v>78</v>
      </c>
      <c r="E28" t="s">
        <v>80</v>
      </c>
    </row>
    <row r="29" spans="1:5" x14ac:dyDescent="0.2">
      <c r="A29" t="s">
        <v>39</v>
      </c>
      <c r="B29">
        <v>-0.74139999999999995</v>
      </c>
      <c r="C29" s="13" t="s">
        <v>215</v>
      </c>
      <c r="D29" t="s">
        <v>74</v>
      </c>
      <c r="E29" t="s">
        <v>75</v>
      </c>
    </row>
    <row r="30" spans="1:5" x14ac:dyDescent="0.2">
      <c r="A30" t="s">
        <v>40</v>
      </c>
      <c r="B30">
        <v>-0.58189999999999997</v>
      </c>
      <c r="C30" s="13" t="s">
        <v>216</v>
      </c>
      <c r="D30" t="s">
        <v>78</v>
      </c>
      <c r="E30" t="s">
        <v>79</v>
      </c>
    </row>
    <row r="31" spans="1:5" x14ac:dyDescent="0.2">
      <c r="A31" t="s">
        <v>41</v>
      </c>
      <c r="B31">
        <v>-0.53490000000000004</v>
      </c>
      <c r="C31" s="13" t="s">
        <v>217</v>
      </c>
      <c r="D31" t="s">
        <v>78</v>
      </c>
      <c r="E31" t="s">
        <v>79</v>
      </c>
    </row>
    <row r="32" spans="1:5" x14ac:dyDescent="0.2">
      <c r="A32" t="s">
        <v>42</v>
      </c>
      <c r="B32">
        <v>-0.65349999999999997</v>
      </c>
      <c r="C32" s="13" t="s">
        <v>218</v>
      </c>
      <c r="D32" t="s">
        <v>76</v>
      </c>
      <c r="E32" t="s">
        <v>77</v>
      </c>
    </row>
    <row r="33" spans="1:5" x14ac:dyDescent="0.2">
      <c r="A33" t="s">
        <v>43</v>
      </c>
      <c r="B33">
        <v>-0.33760000000000001</v>
      </c>
      <c r="C33" s="13" t="s">
        <v>219</v>
      </c>
      <c r="D33" t="s">
        <v>78</v>
      </c>
      <c r="E33" t="s">
        <v>80</v>
      </c>
    </row>
    <row r="34" spans="1:5" x14ac:dyDescent="0.2">
      <c r="A34" t="s">
        <v>44</v>
      </c>
      <c r="B34">
        <v>-0.48509999999999998</v>
      </c>
      <c r="C34" s="13" t="s">
        <v>220</v>
      </c>
      <c r="D34" t="s">
        <v>78</v>
      </c>
      <c r="E34" t="s">
        <v>81</v>
      </c>
    </row>
    <row r="35" spans="1:5" x14ac:dyDescent="0.2">
      <c r="A35" t="s">
        <v>45</v>
      </c>
      <c r="B35">
        <v>-0.63539999999999996</v>
      </c>
      <c r="C35" s="13" t="s">
        <v>221</v>
      </c>
      <c r="D35" t="s">
        <v>74</v>
      </c>
      <c r="E35" t="s">
        <v>75</v>
      </c>
    </row>
    <row r="36" spans="1:5" x14ac:dyDescent="0.2">
      <c r="A36" t="s">
        <v>46</v>
      </c>
      <c r="B36">
        <v>-0.6079</v>
      </c>
      <c r="C36" s="13" t="s">
        <v>222</v>
      </c>
      <c r="D36" t="s">
        <v>74</v>
      </c>
      <c r="E36" t="s">
        <v>75</v>
      </c>
    </row>
    <row r="37" spans="1:5" x14ac:dyDescent="0.2">
      <c r="A37" t="s">
        <v>47</v>
      </c>
      <c r="B37">
        <v>-0.46929999999999999</v>
      </c>
      <c r="C37" s="13" t="s">
        <v>223</v>
      </c>
      <c r="D37" t="s">
        <v>78</v>
      </c>
      <c r="E37" t="s">
        <v>82</v>
      </c>
    </row>
    <row r="38" spans="1:5" x14ac:dyDescent="0.2">
      <c r="A38" t="s">
        <v>48</v>
      </c>
      <c r="B38">
        <v>-0.58320000000000005</v>
      </c>
      <c r="C38" s="13" t="s">
        <v>224</v>
      </c>
      <c r="D38" t="s">
        <v>78</v>
      </c>
      <c r="E38" t="s">
        <v>82</v>
      </c>
    </row>
    <row r="39" spans="1:5" x14ac:dyDescent="0.2">
      <c r="A39" t="s">
        <v>49</v>
      </c>
      <c r="B39">
        <v>-0.74839999999999995</v>
      </c>
      <c r="C39" s="13" t="s">
        <v>225</v>
      </c>
      <c r="D39" t="s">
        <v>74</v>
      </c>
      <c r="E39" t="s">
        <v>75</v>
      </c>
    </row>
    <row r="40" spans="1:5" x14ac:dyDescent="0.2">
      <c r="A40" t="s">
        <v>50</v>
      </c>
      <c r="B40">
        <v>-0.58909999999999996</v>
      </c>
      <c r="C40" s="13" t="s">
        <v>226</v>
      </c>
      <c r="D40" t="s">
        <v>78</v>
      </c>
      <c r="E40" t="s">
        <v>79</v>
      </c>
    </row>
    <row r="41" spans="1:5" x14ac:dyDescent="0.2">
      <c r="A41" t="s">
        <v>51</v>
      </c>
      <c r="B41">
        <v>-0.37480000000000002</v>
      </c>
      <c r="C41" s="13" t="s">
        <v>227</v>
      </c>
      <c r="D41" t="s">
        <v>78</v>
      </c>
      <c r="E41" t="s">
        <v>81</v>
      </c>
    </row>
    <row r="42" spans="1:5" x14ac:dyDescent="0.2">
      <c r="A42" t="s">
        <v>52</v>
      </c>
      <c r="B42">
        <v>-0.65639999999999998</v>
      </c>
      <c r="C42" s="13" t="s">
        <v>228</v>
      </c>
      <c r="D42" t="s">
        <v>76</v>
      </c>
      <c r="E42" t="s">
        <v>77</v>
      </c>
    </row>
    <row r="43" spans="1:5" x14ac:dyDescent="0.2">
      <c r="A43" t="s">
        <v>53</v>
      </c>
      <c r="B43">
        <v>-0.49780000000000002</v>
      </c>
      <c r="C43" s="13" t="s">
        <v>229</v>
      </c>
      <c r="D43" t="s">
        <v>78</v>
      </c>
      <c r="E43" t="s">
        <v>82</v>
      </c>
    </row>
    <row r="44" spans="1:5" x14ac:dyDescent="0.2">
      <c r="A44" t="s">
        <v>54</v>
      </c>
      <c r="B44">
        <v>-0.71330000000000005</v>
      </c>
      <c r="C44" s="13" t="s">
        <v>230</v>
      </c>
      <c r="D44" t="s">
        <v>76</v>
      </c>
      <c r="E44" t="s">
        <v>77</v>
      </c>
    </row>
    <row r="45" spans="1:5" x14ac:dyDescent="0.2">
      <c r="A45" t="s">
        <v>55</v>
      </c>
      <c r="B45">
        <v>-0.52100000000000002</v>
      </c>
      <c r="C45" s="13" t="s">
        <v>231</v>
      </c>
      <c r="D45" t="s">
        <v>78</v>
      </c>
      <c r="E45" t="s">
        <v>82</v>
      </c>
    </row>
    <row r="46" spans="1:5" x14ac:dyDescent="0.2">
      <c r="A46" t="s">
        <v>56</v>
      </c>
      <c r="B46">
        <v>-0.56940000000000002</v>
      </c>
      <c r="C46" s="13" t="s">
        <v>232</v>
      </c>
      <c r="D46" t="s">
        <v>78</v>
      </c>
      <c r="E46" t="s">
        <v>79</v>
      </c>
    </row>
    <row r="47" spans="1:5" x14ac:dyDescent="0.2">
      <c r="A47" t="s">
        <v>57</v>
      </c>
      <c r="B47">
        <v>-0.53</v>
      </c>
      <c r="C47" s="13" t="s">
        <v>233</v>
      </c>
      <c r="D47" t="s">
        <v>78</v>
      </c>
      <c r="E47" t="s">
        <v>81</v>
      </c>
    </row>
    <row r="48" spans="1:5" x14ac:dyDescent="0.2">
      <c r="A48" t="s">
        <v>58</v>
      </c>
      <c r="B48">
        <v>-0.66239999999999999</v>
      </c>
      <c r="C48" s="13" t="s">
        <v>234</v>
      </c>
      <c r="D48" t="s">
        <v>74</v>
      </c>
      <c r="E48" t="s">
        <v>75</v>
      </c>
    </row>
    <row r="49" spans="1:5" x14ac:dyDescent="0.2">
      <c r="A49" t="s">
        <v>59</v>
      </c>
      <c r="B49">
        <v>-0.60899999999999999</v>
      </c>
      <c r="C49" s="13" t="s">
        <v>235</v>
      </c>
      <c r="D49" t="s">
        <v>76</v>
      </c>
      <c r="E49" t="s">
        <v>77</v>
      </c>
    </row>
    <row r="50" spans="1:5" x14ac:dyDescent="0.2">
      <c r="A50" t="s">
        <v>60</v>
      </c>
      <c r="B50">
        <v>-0.43759999999999999</v>
      </c>
      <c r="C50" s="13" t="s">
        <v>236</v>
      </c>
      <c r="D50" t="s">
        <v>78</v>
      </c>
      <c r="E50" t="s">
        <v>81</v>
      </c>
    </row>
    <row r="51" spans="1:5" x14ac:dyDescent="0.2">
      <c r="A51" t="s">
        <v>61</v>
      </c>
      <c r="B51">
        <v>-0.65029999999999999</v>
      </c>
      <c r="C51" s="13" t="s">
        <v>237</v>
      </c>
      <c r="D51" t="s">
        <v>76</v>
      </c>
      <c r="E51" t="s">
        <v>77</v>
      </c>
    </row>
    <row r="52" spans="1:5" x14ac:dyDescent="0.2">
      <c r="A52" t="s">
        <v>62</v>
      </c>
      <c r="B52">
        <v>-0.68379999999999996</v>
      </c>
      <c r="C52" s="13" t="s">
        <v>238</v>
      </c>
      <c r="D52" t="s">
        <v>74</v>
      </c>
      <c r="E52" t="s">
        <v>75</v>
      </c>
    </row>
    <row r="53" spans="1:5" x14ac:dyDescent="0.2">
      <c r="A53" t="s">
        <v>63</v>
      </c>
      <c r="B53">
        <v>-0.75360000000000005</v>
      </c>
      <c r="C53" s="13" t="s">
        <v>239</v>
      </c>
      <c r="D53" t="s">
        <v>76</v>
      </c>
      <c r="E53" t="s">
        <v>77</v>
      </c>
    </row>
    <row r="54" spans="1:5" x14ac:dyDescent="0.2">
      <c r="A54" t="s">
        <v>64</v>
      </c>
      <c r="B54">
        <v>-0.45079999999999998</v>
      </c>
      <c r="C54" s="13" t="s">
        <v>240</v>
      </c>
      <c r="D54" t="s">
        <v>78</v>
      </c>
      <c r="E54" t="s">
        <v>79</v>
      </c>
    </row>
    <row r="55" spans="1:5" x14ac:dyDescent="0.2">
      <c r="A55" t="s">
        <v>65</v>
      </c>
      <c r="B55">
        <v>-0.65480000000000005</v>
      </c>
      <c r="C55" s="13" t="s">
        <v>241</v>
      </c>
      <c r="D55" t="s">
        <v>74</v>
      </c>
      <c r="E55" t="s">
        <v>75</v>
      </c>
    </row>
    <row r="56" spans="1:5" x14ac:dyDescent="0.2">
      <c r="A56" t="s">
        <v>66</v>
      </c>
      <c r="B56">
        <v>-0.68610000000000004</v>
      </c>
      <c r="C56" s="13" t="s">
        <v>242</v>
      </c>
      <c r="D56" t="s">
        <v>74</v>
      </c>
      <c r="E56" t="s">
        <v>75</v>
      </c>
    </row>
    <row r="57" spans="1:5" x14ac:dyDescent="0.2">
      <c r="A57" t="s">
        <v>67</v>
      </c>
      <c r="B57">
        <v>-0.60660000000000003</v>
      </c>
      <c r="C57" s="13" t="s">
        <v>243</v>
      </c>
      <c r="D57" t="s">
        <v>76</v>
      </c>
      <c r="E57" t="s">
        <v>77</v>
      </c>
    </row>
    <row r="58" spans="1:5" x14ac:dyDescent="0.2">
      <c r="A58" t="s">
        <v>68</v>
      </c>
      <c r="B58">
        <v>-0.49809999999999999</v>
      </c>
      <c r="C58" s="13" t="s">
        <v>244</v>
      </c>
      <c r="D58" t="s">
        <v>78</v>
      </c>
      <c r="E58" t="s">
        <v>82</v>
      </c>
    </row>
    <row r="59" spans="1:5" x14ac:dyDescent="0.2">
      <c r="A59" t="s">
        <v>69</v>
      </c>
      <c r="B59">
        <v>-0.4924</v>
      </c>
      <c r="C59" s="13" t="s">
        <v>245</v>
      </c>
      <c r="D59" t="s">
        <v>78</v>
      </c>
      <c r="E59" t="s">
        <v>82</v>
      </c>
    </row>
    <row r="60" spans="1:5" x14ac:dyDescent="0.2">
      <c r="A60" t="s">
        <v>70</v>
      </c>
      <c r="B60">
        <v>-0.45350000000000001</v>
      </c>
      <c r="C60" s="13" t="s">
        <v>246</v>
      </c>
      <c r="D60" t="s">
        <v>78</v>
      </c>
      <c r="E60" t="s">
        <v>81</v>
      </c>
    </row>
    <row r="61" spans="1:5" x14ac:dyDescent="0.2">
      <c r="A61" t="s">
        <v>71</v>
      </c>
      <c r="B61">
        <v>-0.3921</v>
      </c>
      <c r="C61" s="13" t="s">
        <v>247</v>
      </c>
      <c r="D61" t="s">
        <v>78</v>
      </c>
      <c r="E6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Overall</vt:lpstr>
      <vt:lpstr>Paper_table</vt:lpstr>
      <vt:lpstr>global_analysis</vt:lpstr>
      <vt:lpstr>anova-overall </vt:lpstr>
      <vt:lpstr>SS_all</vt:lpstr>
      <vt:lpstr>SS_T</vt:lpstr>
      <vt:lpstr>SS_S</vt:lpstr>
      <vt:lpstr>SS_L</vt:lpstr>
      <vt:lpstr>SS_H</vt:lpstr>
      <vt:lpstr>SS_G</vt:lpstr>
      <vt:lpstr>SS_B</vt:lpstr>
      <vt:lpstr>SS_E</vt:lpstr>
      <vt:lpstr>Paper_table_edited</vt:lpstr>
      <vt:lpstr>Spearman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Minhas, Bushra Fazal</dc:creator>
  <cp:lastModifiedBy>Caetano-Anolles, Gustavo</cp:lastModifiedBy>
  <dcterms:created xsi:type="dcterms:W3CDTF">2025-06-23T09:47:07Z</dcterms:created>
  <dcterms:modified xsi:type="dcterms:W3CDTF">2025-12-31T16:43:32Z</dcterms:modified>
</cp:coreProperties>
</file>